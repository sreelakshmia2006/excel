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reelakshmi\Desktop\Data Analytics\"/>
    </mc:Choice>
  </mc:AlternateContent>
  <xr:revisionPtr revIDLastSave="0" documentId="8_{849629CE-F6FC-4074-B02B-F4B35FCC67CB}" xr6:coauthVersionLast="47" xr6:coauthVersionMax="47" xr10:uidLastSave="{00000000-0000-0000-0000-000000000000}"/>
  <bookViews>
    <workbookView xWindow="-108" yWindow="-108" windowWidth="23256" windowHeight="12456" xr2:uid="{10E7B9A1-29E0-B54B-A303-644D8DE23C86}"/>
  </bookViews>
  <sheets>
    <sheet name="XLOOKU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" l="1"/>
  <c r="Q20" i="1"/>
  <c r="Q19" i="1"/>
  <c r="Q18" i="1"/>
  <c r="Q17" i="1"/>
  <c r="N17" i="1"/>
  <c r="J18" i="1"/>
  <c r="J17" i="1"/>
  <c r="I18" i="1"/>
  <c r="I17" i="1"/>
  <c r="I12" i="1"/>
  <c r="I11" i="1"/>
  <c r="J3" i="1"/>
  <c r="J2" i="1"/>
  <c r="I3" i="1"/>
  <c r="I2" i="1"/>
</calcChain>
</file>

<file path=xl/sharedStrings.xml><?xml version="1.0" encoding="utf-8"?>
<sst xmlns="http://schemas.openxmlformats.org/spreadsheetml/2006/main" count="96" uniqueCount="39">
  <si>
    <t>Product ID</t>
  </si>
  <si>
    <t>Product</t>
  </si>
  <si>
    <t>Supplier</t>
  </si>
  <si>
    <t>Price</t>
  </si>
  <si>
    <t>Stock</t>
  </si>
  <si>
    <t>Warehouse</t>
  </si>
  <si>
    <t>P101</t>
  </si>
  <si>
    <t>Laptop</t>
  </si>
  <si>
    <t>Dell</t>
  </si>
  <si>
    <t>A</t>
  </si>
  <si>
    <t>P102</t>
  </si>
  <si>
    <t>Mouse</t>
  </si>
  <si>
    <t>Logitech</t>
  </si>
  <si>
    <t>B</t>
  </si>
  <si>
    <t>P103</t>
  </si>
  <si>
    <t>Keyboard</t>
  </si>
  <si>
    <t>P104</t>
  </si>
  <si>
    <t>Monitor</t>
  </si>
  <si>
    <t>Samsung</t>
  </si>
  <si>
    <t>C</t>
  </si>
  <si>
    <t>P105</t>
  </si>
  <si>
    <t>Printer</t>
  </si>
  <si>
    <t>HP</t>
  </si>
  <si>
    <t>P106</t>
  </si>
  <si>
    <t>Webcam</t>
  </si>
  <si>
    <t>productid</t>
  </si>
  <si>
    <t>price</t>
  </si>
  <si>
    <t>stock</t>
  </si>
  <si>
    <t>D</t>
  </si>
  <si>
    <t>E</t>
  </si>
  <si>
    <t>F</t>
  </si>
  <si>
    <t xml:space="preserve">productid </t>
  </si>
  <si>
    <t xml:space="preserve">price </t>
  </si>
  <si>
    <t>warehouse</t>
  </si>
  <si>
    <t>select product</t>
  </si>
  <si>
    <t>product</t>
  </si>
  <si>
    <t>supplier</t>
  </si>
  <si>
    <t xml:space="preserve">stock </t>
  </si>
  <si>
    <t>PRODUCT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</si>
</sst>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EC38-B4B7-C041-9474-9570D4DBC150}">
  <dimension ref="A1:Q22"/>
  <sheetViews>
    <sheetView tabSelected="1" topLeftCell="A2" workbookViewId="0">
      <selection activeCell="N27" sqref="N27"/>
    </sheetView>
  </sheetViews>
  <sheetFormatPr defaultColWidth="11.19921875" defaultRowHeight="15.6" x14ac:dyDescent="0.3"/>
  <cols>
    <col min="16" max="16" width="12.796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25</v>
      </c>
      <c r="I1" s="1" t="s">
        <v>26</v>
      </c>
      <c r="J1" s="1" t="s">
        <v>27</v>
      </c>
    </row>
    <row r="2" spans="1:17" x14ac:dyDescent="0.3">
      <c r="A2" s="2" t="s">
        <v>6</v>
      </c>
      <c r="B2" s="2" t="s">
        <v>7</v>
      </c>
      <c r="C2" s="2" t="s">
        <v>8</v>
      </c>
      <c r="D2" s="2">
        <v>55000</v>
      </c>
      <c r="E2" s="2">
        <v>18</v>
      </c>
      <c r="F2" s="2" t="s">
        <v>9</v>
      </c>
      <c r="H2" t="s">
        <v>16</v>
      </c>
      <c r="I2">
        <f>VLOOKUP(H2,A1:F7,4,FALSE)</f>
        <v>12500</v>
      </c>
      <c r="J2">
        <f>VLOOKUP(H2,A1:F7,5,FALSE)</f>
        <v>25</v>
      </c>
    </row>
    <row r="3" spans="1:17" x14ac:dyDescent="0.3">
      <c r="A3" s="2" t="s">
        <v>10</v>
      </c>
      <c r="B3" s="2" t="s">
        <v>11</v>
      </c>
      <c r="C3" s="2" t="s">
        <v>12</v>
      </c>
      <c r="D3" s="2">
        <v>900</v>
      </c>
      <c r="E3" s="2">
        <v>120</v>
      </c>
      <c r="F3" s="2" t="s">
        <v>13</v>
      </c>
      <c r="H3" t="s">
        <v>23</v>
      </c>
      <c r="I3">
        <f>VLOOKUP(H3,A2:F8,4,FALSE)</f>
        <v>2400</v>
      </c>
      <c r="J3">
        <f>VLOOKUP(H3,A2:F8,5,FALSE)</f>
        <v>45</v>
      </c>
    </row>
    <row r="4" spans="1:17" x14ac:dyDescent="0.3">
      <c r="A4" s="2" t="s">
        <v>14</v>
      </c>
      <c r="B4" s="2" t="s">
        <v>15</v>
      </c>
      <c r="C4" s="2" t="s">
        <v>12</v>
      </c>
      <c r="D4" s="2">
        <v>1800</v>
      </c>
      <c r="E4" s="2">
        <v>65</v>
      </c>
      <c r="F4" s="2" t="s">
        <v>9</v>
      </c>
    </row>
    <row r="5" spans="1:17" x14ac:dyDescent="0.3">
      <c r="A5" s="2" t="s">
        <v>16</v>
      </c>
      <c r="B5" s="2" t="s">
        <v>17</v>
      </c>
      <c r="C5" s="2" t="s">
        <v>18</v>
      </c>
      <c r="D5" s="2">
        <v>12500</v>
      </c>
      <c r="E5" s="2">
        <v>25</v>
      </c>
      <c r="F5" s="2" t="s">
        <v>19</v>
      </c>
    </row>
    <row r="6" spans="1:17" x14ac:dyDescent="0.3">
      <c r="A6" s="2" t="s">
        <v>20</v>
      </c>
      <c r="B6" s="2" t="s">
        <v>21</v>
      </c>
      <c r="C6" s="2" t="s">
        <v>22</v>
      </c>
      <c r="D6" s="2">
        <v>9800</v>
      </c>
      <c r="E6" s="2">
        <v>12</v>
      </c>
      <c r="F6" s="2" t="s">
        <v>13</v>
      </c>
    </row>
    <row r="7" spans="1:17" x14ac:dyDescent="0.3">
      <c r="A7" s="2" t="s">
        <v>23</v>
      </c>
      <c r="B7" s="2" t="s">
        <v>24</v>
      </c>
      <c r="C7" s="2" t="s">
        <v>12</v>
      </c>
      <c r="D7" s="2">
        <v>2400</v>
      </c>
      <c r="E7" s="2">
        <v>45</v>
      </c>
      <c r="F7" s="2" t="s">
        <v>19</v>
      </c>
    </row>
    <row r="10" spans="1:17" x14ac:dyDescent="0.3">
      <c r="A10" s="1" t="s">
        <v>9</v>
      </c>
      <c r="B10" s="1" t="s">
        <v>13</v>
      </c>
      <c r="C10" s="1" t="s">
        <v>19</v>
      </c>
      <c r="D10" s="1" t="s">
        <v>28</v>
      </c>
      <c r="E10" s="1" t="s">
        <v>29</v>
      </c>
      <c r="F10" s="1" t="s">
        <v>30</v>
      </c>
      <c r="H10" s="1" t="s">
        <v>25</v>
      </c>
      <c r="I10" s="1"/>
    </row>
    <row r="11" spans="1:17" x14ac:dyDescent="0.3">
      <c r="A11" s="2" t="s">
        <v>0</v>
      </c>
      <c r="B11" s="2" t="s">
        <v>6</v>
      </c>
      <c r="C11" s="2" t="s">
        <v>10</v>
      </c>
      <c r="D11" s="2" t="s">
        <v>14</v>
      </c>
      <c r="E11" s="2" t="s">
        <v>16</v>
      </c>
      <c r="F11" s="2" t="s">
        <v>20</v>
      </c>
      <c r="H11" s="2" t="s">
        <v>14</v>
      </c>
      <c r="I11">
        <f>HLOOKUP(H11,A11:F12,2,FALSE)</f>
        <v>1800</v>
      </c>
    </row>
    <row r="12" spans="1:17" x14ac:dyDescent="0.3">
      <c r="A12" s="2" t="s">
        <v>3</v>
      </c>
      <c r="B12" s="2">
        <v>55000</v>
      </c>
      <c r="C12" s="2">
        <v>900</v>
      </c>
      <c r="D12" s="2">
        <v>1800</v>
      </c>
      <c r="E12" s="2">
        <v>12500</v>
      </c>
      <c r="F12" s="2">
        <v>9800</v>
      </c>
      <c r="H12" t="s">
        <v>20</v>
      </c>
      <c r="I12">
        <f>HLOOKUP(H12,A11:F12,2,FALSE)</f>
        <v>9800</v>
      </c>
    </row>
    <row r="15" spans="1:17" x14ac:dyDescent="0.3">
      <c r="P15" s="4" t="s">
        <v>38</v>
      </c>
      <c r="Q15" s="4"/>
    </row>
    <row r="16" spans="1:17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H16" s="1" t="s">
        <v>31</v>
      </c>
      <c r="I16" s="1" t="s">
        <v>32</v>
      </c>
      <c r="J16" s="1" t="s">
        <v>33</v>
      </c>
      <c r="M16" s="1" t="s">
        <v>25</v>
      </c>
      <c r="P16" s="3" t="s">
        <v>34</v>
      </c>
      <c r="Q16" t="s">
        <v>23</v>
      </c>
    </row>
    <row r="17" spans="1:17" x14ac:dyDescent="0.3">
      <c r="A17" s="2" t="s">
        <v>6</v>
      </c>
      <c r="B17" s="2" t="s">
        <v>7</v>
      </c>
      <c r="C17" s="2" t="s">
        <v>8</v>
      </c>
      <c r="D17" s="2">
        <v>55000</v>
      </c>
      <c r="E17" s="2">
        <v>18</v>
      </c>
      <c r="F17" s="2" t="s">
        <v>9</v>
      </c>
      <c r="H17" t="s">
        <v>16</v>
      </c>
      <c r="I17">
        <f>_xlfn.XLOOKUP(H17,A17:A22,D17:D22)</f>
        <v>12500</v>
      </c>
      <c r="J17" t="str">
        <f>_xlfn.XLOOKUP(H17,A17:A22,F17:F22)</f>
        <v>C</v>
      </c>
      <c r="M17" t="s">
        <v>20</v>
      </c>
      <c r="N17" t="str">
        <f>_xlfn.XLOOKUP(M17,A17:A22,C17:C22)</f>
        <v>HP</v>
      </c>
      <c r="P17" t="s">
        <v>35</v>
      </c>
      <c r="Q17" t="str">
        <f>_xlfn.XLOOKUP(Q16,A17:A22,B17:B22)</f>
        <v>Webcam</v>
      </c>
    </row>
    <row r="18" spans="1:17" x14ac:dyDescent="0.3">
      <c r="A18" s="2" t="s">
        <v>10</v>
      </c>
      <c r="B18" s="2" t="s">
        <v>11</v>
      </c>
      <c r="C18" s="2" t="s">
        <v>12</v>
      </c>
      <c r="D18" s="2">
        <v>900</v>
      </c>
      <c r="E18" s="2">
        <v>120</v>
      </c>
      <c r="F18" s="2" t="s">
        <v>13</v>
      </c>
      <c r="H18" t="s">
        <v>23</v>
      </c>
      <c r="I18">
        <f>_xlfn.XLOOKUP(H18,A18:A23,D18:D23)</f>
        <v>2400</v>
      </c>
      <c r="J18" t="str">
        <f>_xlfn.XLOOKUP(H18,A18:A23,F18:F23)</f>
        <v>C</v>
      </c>
      <c r="P18" t="s">
        <v>36</v>
      </c>
      <c r="Q18" t="str">
        <f>_xlfn.XLOOKUP(Q16,A17:A22,C17:C22)</f>
        <v>Logitech</v>
      </c>
    </row>
    <row r="19" spans="1:17" x14ac:dyDescent="0.3">
      <c r="A19" s="2" t="s">
        <v>14</v>
      </c>
      <c r="B19" s="2" t="s">
        <v>15</v>
      </c>
      <c r="C19" s="2" t="s">
        <v>12</v>
      </c>
      <c r="D19" s="2">
        <v>1800</v>
      </c>
      <c r="E19" s="2">
        <v>65</v>
      </c>
      <c r="F19" s="2" t="s">
        <v>9</v>
      </c>
      <c r="P19" t="s">
        <v>26</v>
      </c>
      <c r="Q19">
        <f>_xlfn.XLOOKUP(Q16,A17:A22,D17:D22)</f>
        <v>2400</v>
      </c>
    </row>
    <row r="20" spans="1:17" x14ac:dyDescent="0.3">
      <c r="A20" s="2" t="s">
        <v>16</v>
      </c>
      <c r="B20" s="2" t="s">
        <v>17</v>
      </c>
      <c r="C20" s="2" t="s">
        <v>18</v>
      </c>
      <c r="D20" s="2">
        <v>12500</v>
      </c>
      <c r="E20" s="2">
        <v>25</v>
      </c>
      <c r="F20" s="2" t="s">
        <v>19</v>
      </c>
      <c r="P20" t="s">
        <v>37</v>
      </c>
      <c r="Q20">
        <f>_xlfn.XLOOKUP(Q16,A17:A22,E17:E22)</f>
        <v>45</v>
      </c>
    </row>
    <row r="21" spans="1:17" x14ac:dyDescent="0.3">
      <c r="A21" s="2" t="s">
        <v>20</v>
      </c>
      <c r="B21" s="2" t="s">
        <v>21</v>
      </c>
      <c r="C21" s="2" t="s">
        <v>22</v>
      </c>
      <c r="D21" s="2">
        <v>9800</v>
      </c>
      <c r="E21" s="2">
        <v>12</v>
      </c>
      <c r="F21" s="2" t="s">
        <v>13</v>
      </c>
      <c r="P21" t="s">
        <v>33</v>
      </c>
      <c r="Q21" t="str">
        <f>_xlfn.XLOOKUP(Q16,A17:A22,F17:F22)</f>
        <v>C</v>
      </c>
    </row>
    <row r="22" spans="1:17" x14ac:dyDescent="0.3">
      <c r="A22" s="2" t="s">
        <v>23</v>
      </c>
      <c r="B22" s="2" t="s">
        <v>24</v>
      </c>
      <c r="C22" s="2" t="s">
        <v>12</v>
      </c>
      <c r="D22" s="2">
        <v>2400</v>
      </c>
      <c r="E22" s="2">
        <v>45</v>
      </c>
      <c r="F22" s="2" t="s">
        <v>19</v>
      </c>
    </row>
  </sheetData>
  <mergeCells count="1">
    <mergeCell ref="P15:Q15"/>
  </mergeCells>
  <dataValidations count="1">
    <dataValidation type="list" allowBlank="1" showInputMessage="1" showErrorMessage="1" sqref="M17 Q16" xr:uid="{5E01D3E7-027B-E44F-94A0-08C2E594FA4B}">
      <formula1>$A$17:$A$22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Sreelakshmi A</cp:lastModifiedBy>
  <dcterms:created xsi:type="dcterms:W3CDTF">2026-07-24T12:06:14Z</dcterms:created>
  <dcterms:modified xsi:type="dcterms:W3CDTF">2026-07-27T06:32:43Z</dcterms:modified>
</cp:coreProperties>
</file>