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eelakshmi\Desktop\Data Analytics\"/>
    </mc:Choice>
  </mc:AlternateContent>
  <xr:revisionPtr revIDLastSave="0" documentId="13_ncr:1_{5C541ABF-C23E-434D-97F6-DA82C471C0A7}" xr6:coauthVersionLast="47" xr6:coauthVersionMax="47" xr10:uidLastSave="{00000000-0000-0000-0000-000000000000}"/>
  <bookViews>
    <workbookView xWindow="-108" yWindow="-108" windowWidth="23256" windowHeight="12456" activeTab="4" xr2:uid="{D83ABC9E-FD37-4811-8621-BFC75B7151BC}"/>
  </bookViews>
  <sheets>
    <sheet name="Text Functions" sheetId="1" r:id="rId1"/>
    <sheet name="Power Query" sheetId="3" r:id="rId2"/>
    <sheet name="Data Cleaning" sheetId="5" r:id="rId3"/>
    <sheet name="Text - to - Columns" sheetId="7" r:id="rId4"/>
    <sheet name="IF Analysis" sheetId="8" r:id="rId5"/>
    <sheet name="Sheet8" sheetId="9" r:id="rId6"/>
  </sheets>
  <definedNames>
    <definedName name="ExternalData_1" localSheetId="2" hidden="1">'Data Cleaning'!$A$1:$B$5</definedName>
    <definedName name="ExternalData_1" localSheetId="1" hidden="1">'Power Query'!$A$1:$D$4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8" l="1"/>
  <c r="D4" i="8"/>
  <c r="D2" i="8"/>
  <c r="E3" i="7"/>
  <c r="E2" i="7"/>
  <c r="H4" i="1"/>
  <c r="G3" i="1"/>
  <c r="G4" i="1"/>
  <c r="H3" i="1"/>
  <c r="H2" i="1"/>
  <c r="G2" i="1"/>
  <c r="F4" i="1"/>
  <c r="F3" i="1"/>
  <c r="F2" i="1"/>
  <c r="E4" i="1"/>
  <c r="E3" i="1"/>
  <c r="E2" i="1"/>
  <c r="D4" i="1"/>
  <c r="D3" i="1"/>
  <c r="D2" i="1"/>
  <c r="C4" i="1"/>
  <c r="C3" i="1"/>
  <c r="C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14471FB-8966-4BEA-883D-7169EA2FA35A}" keepAlive="1" name="Query - Power Query dataset (task)" description="Connection to the 'Power Query dataset (task)' query in the workbook." type="5" refreshedVersion="8" background="1" saveData="1">
    <dbPr connection="Provider=Microsoft.Mashup.OleDb.1;Data Source=$Workbook$;Location=&quot;Power Query dataset (task)&quot;;Extended Properties=&quot;&quot;" command="SELECT * FROM [Power Query dataset (task)]"/>
  </connection>
  <connection id="2" xr16:uid="{A564F425-7DF2-4F89-8EC0-2CED5B7FE569}" keepAlive="1" name="Query - Table2" description="Connection to the 'Table2' query in the workbook." type="5" refreshedVersion="8" background="1" saveData="1">
    <dbPr connection="Provider=Microsoft.Mashup.OleDb.1;Data Source=$Workbook$;Location=Table2;Extended Properties=&quot;&quot;" command="SELECT * FROM [Table2]"/>
  </connection>
  <connection id="3" xr16:uid="{367FDF64-E3B3-4C37-986C-B2F3CB548B46}" keepAlive="1" name="Query - Table2 (2)" description="Connection to the 'Table2 (2)' query in the workbook." type="5" refreshedVersion="8" background="1" saveData="1">
    <dbPr connection="Provider=Microsoft.Mashup.OleDb.1;Data Source=$Workbook$;Location=&quot;Table2 (2)&quot;;Extended Properties=&quot;&quot;" command="SELECT * FROM [Table2 (2)]"/>
  </connection>
</connections>
</file>

<file path=xl/sharedStrings.xml><?xml version="1.0" encoding="utf-8"?>
<sst xmlns="http://schemas.openxmlformats.org/spreadsheetml/2006/main" count="45" uniqueCount="44">
  <si>
    <t>Full Code</t>
  </si>
  <si>
    <t>Name</t>
  </si>
  <si>
    <t>EMP101HR</t>
  </si>
  <si>
    <t>EMP102IT</t>
  </si>
  <si>
    <t>EMP103FIN</t>
  </si>
  <si>
    <t>rahul kumar</t>
  </si>
  <si>
    <t>sneha nair</t>
  </si>
  <si>
    <t>arjun das</t>
  </si>
  <si>
    <t>LEFT</t>
  </si>
  <si>
    <t>MID</t>
  </si>
  <si>
    <t>RIGHT</t>
  </si>
  <si>
    <t>UPPER</t>
  </si>
  <si>
    <t>LOWER</t>
  </si>
  <si>
    <t>PROPER</t>
  </si>
  <si>
    <t xml:space="preserve">Customer </t>
  </si>
  <si>
    <t>Order ID</t>
  </si>
  <si>
    <t>Ravi</t>
  </si>
  <si>
    <t>Anu</t>
  </si>
  <si>
    <t>Manu</t>
  </si>
  <si>
    <t>Total Amount</t>
  </si>
  <si>
    <t>GST</t>
  </si>
  <si>
    <t>Student Name</t>
  </si>
  <si>
    <t>Marks</t>
  </si>
  <si>
    <t>Asha</t>
  </si>
  <si>
    <t>Rahul</t>
  </si>
  <si>
    <t>Neha</t>
  </si>
  <si>
    <t>Arjun</t>
  </si>
  <si>
    <t>Kumar</t>
  </si>
  <si>
    <t>Sneha</t>
  </si>
  <si>
    <t>Nair</t>
  </si>
  <si>
    <t>First Name</t>
  </si>
  <si>
    <t>Last Name</t>
  </si>
  <si>
    <t>Phone No</t>
  </si>
  <si>
    <t>Email</t>
  </si>
  <si>
    <t>Rahul@gmail.com</t>
  </si>
  <si>
    <t>Sneha@gmail.com</t>
  </si>
  <si>
    <t>Merged</t>
  </si>
  <si>
    <t>Product</t>
  </si>
  <si>
    <t xml:space="preserve"> Cost Price</t>
  </si>
  <si>
    <t>Selling Price</t>
  </si>
  <si>
    <t>A</t>
  </si>
  <si>
    <t>B</t>
  </si>
  <si>
    <t>C</t>
  </si>
  <si>
    <t>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</si>
</sst>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8"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780001C-F401-4E81-B210-55F121148A4A}" autoFormatId="16" applyNumberFormats="0" applyBorderFormats="0" applyFontFormats="0" applyPatternFormats="0" applyAlignmentFormats="0" applyWidthHeightFormats="0">
  <queryTableRefresh nextId="5">
    <queryTableFields count="4">
      <queryTableField id="1" name="Order ID" tableColumnId="5"/>
      <queryTableField id="2" name="Customer " tableColumnId="2"/>
      <queryTableField id="3" name="Total Amount" tableColumnId="3"/>
      <queryTableField id="4" name="GST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0B184377-6CA7-405E-8B20-7EF0149F1D24}" autoFormatId="16" applyNumberFormats="0" applyBorderFormats="0" applyFontFormats="0" applyPatternFormats="0" applyAlignmentFormats="0" applyWidthHeightFormats="0">
  <queryTableRefresh nextId="3">
    <queryTableFields count="2">
      <queryTableField id="1" name="Student Name" tableColumnId="3"/>
      <queryTableField id="2" name="Marks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0E3A18C-4011-4720-A674-44DB1E25502C}" name="Power_Query_dataset__task" displayName="Power_Query_dataset__task" ref="A1:D4" tableType="queryTable" totalsRowShown="0">
  <autoFilter ref="A1:D4" xr:uid="{A0E3A18C-4011-4720-A674-44DB1E25502C}"/>
  <tableColumns count="4">
    <tableColumn id="5" xr3:uid="{330EA861-6699-4F32-95D5-133985CFBF75}" uniqueName="5" name="Order ID" queryTableFieldId="1" dataDxfId="7"/>
    <tableColumn id="2" xr3:uid="{9A911225-38D2-463C-A82F-08C55E9C804D}" uniqueName="2" name="Customer " queryTableFieldId="2" dataDxfId="6"/>
    <tableColumn id="3" xr3:uid="{80CAEA0F-E959-4AF8-A61B-B2A49721F909}" uniqueName="3" name="Total Amount" queryTableFieldId="3" dataDxfId="5"/>
    <tableColumn id="4" xr3:uid="{AC82CC3F-D590-47E6-B0CA-D818D6EADFE6}" uniqueName="4" name="GST" queryTableFieldId="4" dataDxf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B7A6E8E-C318-4642-9C28-1F15D0972CF3}" name="Table2_2" displayName="Table2_2" ref="A1:B5" tableType="queryTable" totalsRowShown="0">
  <autoFilter ref="A1:B5" xr:uid="{8B7A6E8E-C318-4642-9C28-1F15D0972CF3}"/>
  <tableColumns count="2">
    <tableColumn id="3" xr3:uid="{F58C4B5E-BAFF-46B0-B26E-C3D482EBFBFB}" uniqueName="3" name="Student Name" queryTableFieldId="1" dataDxfId="3"/>
    <tableColumn id="2" xr3:uid="{79C9171E-B4B2-4740-B57E-B17C09300268}" uniqueName="2" name="Marks" queryTableFieldId="2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mailto:Sneha@gmail.com" TargetMode="External"/><Relationship Id="rId1" Type="http://schemas.openxmlformats.org/officeDocument/2006/relationships/hyperlink" Target="mailto:Rahul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5BA5F-E154-42BC-93C8-CD3A15AA988F}">
  <dimension ref="A1:H4"/>
  <sheetViews>
    <sheetView workbookViewId="0">
      <selection activeCell="G8" sqref="G8"/>
    </sheetView>
  </sheetViews>
  <sheetFormatPr defaultRowHeight="14.4" x14ac:dyDescent="0.3"/>
  <cols>
    <col min="1" max="1" width="10.88671875" customWidth="1"/>
    <col min="2" max="2" width="11.109375" customWidth="1"/>
    <col min="6" max="6" width="13.77734375" customWidth="1"/>
    <col min="7" max="7" width="12.109375" customWidth="1"/>
    <col min="8" max="8" width="13.44140625" customWidth="1"/>
  </cols>
  <sheetData>
    <row r="1" spans="1:8" x14ac:dyDescent="0.3">
      <c r="A1" t="s">
        <v>0</v>
      </c>
      <c r="B1" t="s">
        <v>1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</row>
    <row r="2" spans="1:8" x14ac:dyDescent="0.3">
      <c r="A2" t="s">
        <v>2</v>
      </c>
      <c r="B2" t="s">
        <v>5</v>
      </c>
      <c r="C2" t="str">
        <f>LEFT(A2,3)</f>
        <v>EMP</v>
      </c>
      <c r="D2" t="str">
        <f>MID(A2,4,3)</f>
        <v>101</v>
      </c>
      <c r="E2" t="str">
        <f>RIGHT(A2,2)</f>
        <v>HR</v>
      </c>
      <c r="F2" t="str">
        <f>UPPER(B2)</f>
        <v>RAHUL KUMAR</v>
      </c>
      <c r="G2" t="str">
        <f>LOWER(B2)</f>
        <v>rahul kumar</v>
      </c>
      <c r="H2" t="str">
        <f>PROPER(B2)</f>
        <v>Rahul Kumar</v>
      </c>
    </row>
    <row r="3" spans="1:8" x14ac:dyDescent="0.3">
      <c r="A3" t="s">
        <v>3</v>
      </c>
      <c r="B3" t="s">
        <v>6</v>
      </c>
      <c r="C3" t="str">
        <f>LEFT(A3,3)</f>
        <v>EMP</v>
      </c>
      <c r="D3" t="str">
        <f>MID(A3,4,3)</f>
        <v>102</v>
      </c>
      <c r="E3" t="str">
        <f>RIGHT(A3,2)</f>
        <v>IT</v>
      </c>
      <c r="F3" t="str">
        <f>UPPER(B3)</f>
        <v>SNEHA NAIR</v>
      </c>
      <c r="G3" t="str">
        <f t="shared" ref="G3:G4" si="0">LOWER(B3)</f>
        <v>sneha nair</v>
      </c>
      <c r="H3" t="str">
        <f>PROPER(B3)</f>
        <v>Sneha Nair</v>
      </c>
    </row>
    <row r="4" spans="1:8" x14ac:dyDescent="0.3">
      <c r="A4" t="s">
        <v>4</v>
      </c>
      <c r="B4" t="s">
        <v>7</v>
      </c>
      <c r="C4" t="str">
        <f>LEFT(A4,3)</f>
        <v>EMP</v>
      </c>
      <c r="D4" t="str">
        <f>MID(A4,4,3)</f>
        <v>103</v>
      </c>
      <c r="E4" t="str">
        <f>RIGHT(A4,3)</f>
        <v>FIN</v>
      </c>
      <c r="F4" t="str">
        <f>UPPER(B4)</f>
        <v>ARJUN DAS</v>
      </c>
      <c r="G4" t="str">
        <f t="shared" si="0"/>
        <v>arjun das</v>
      </c>
      <c r="H4" t="str">
        <f>PROPER(B4)</f>
        <v>Arjun Das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F1EED-8D5D-4CC3-91E5-EB9A50939025}">
  <dimension ref="A1:D4"/>
  <sheetViews>
    <sheetView workbookViewId="0">
      <selection activeCell="F11" sqref="F11"/>
    </sheetView>
  </sheetViews>
  <sheetFormatPr defaultRowHeight="14.4" x14ac:dyDescent="0.3"/>
  <cols>
    <col min="1" max="1" width="10.21875" bestFit="1" customWidth="1"/>
    <col min="2" max="2" width="11.77734375" bestFit="1" customWidth="1"/>
    <col min="3" max="3" width="14.77734375" bestFit="1" customWidth="1"/>
    <col min="4" max="4" width="6.44140625" bestFit="1" customWidth="1"/>
  </cols>
  <sheetData>
    <row r="1" spans="1:4" x14ac:dyDescent="0.3">
      <c r="A1" t="s">
        <v>15</v>
      </c>
      <c r="B1" t="s">
        <v>14</v>
      </c>
      <c r="C1" t="s">
        <v>19</v>
      </c>
      <c r="D1" t="s">
        <v>20</v>
      </c>
    </row>
    <row r="2" spans="1:4" x14ac:dyDescent="0.3">
      <c r="A2">
        <v>1001</v>
      </c>
      <c r="B2" t="s">
        <v>16</v>
      </c>
      <c r="C2">
        <v>5000</v>
      </c>
      <c r="D2">
        <v>900</v>
      </c>
    </row>
    <row r="3" spans="1:4" x14ac:dyDescent="0.3">
      <c r="A3">
        <v>1002</v>
      </c>
      <c r="B3" t="s">
        <v>17</v>
      </c>
      <c r="C3">
        <v>7000</v>
      </c>
      <c r="D3">
        <v>1260</v>
      </c>
    </row>
    <row r="4" spans="1:4" x14ac:dyDescent="0.3">
      <c r="A4">
        <v>1003</v>
      </c>
      <c r="B4" t="s">
        <v>18</v>
      </c>
      <c r="C4">
        <v>6500</v>
      </c>
      <c r="D4">
        <v>1170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1F4A9-D390-4EFB-9879-9942D43F8CEC}">
  <dimension ref="A1:B5"/>
  <sheetViews>
    <sheetView workbookViewId="0">
      <selection activeCell="C17" sqref="C17"/>
    </sheetView>
  </sheetViews>
  <sheetFormatPr defaultRowHeight="14.4" x14ac:dyDescent="0.3"/>
  <cols>
    <col min="1" max="1" width="15.44140625" bestFit="1" customWidth="1"/>
    <col min="2" max="2" width="8.44140625" bestFit="1" customWidth="1"/>
  </cols>
  <sheetData>
    <row r="1" spans="1:2" x14ac:dyDescent="0.3">
      <c r="A1" t="s">
        <v>21</v>
      </c>
      <c r="B1" t="s">
        <v>22</v>
      </c>
    </row>
    <row r="2" spans="1:2" x14ac:dyDescent="0.3">
      <c r="A2" t="s">
        <v>23</v>
      </c>
      <c r="B2">
        <v>80</v>
      </c>
    </row>
    <row r="3" spans="1:2" x14ac:dyDescent="0.3">
      <c r="A3" t="s">
        <v>24</v>
      </c>
      <c r="B3">
        <v>75</v>
      </c>
    </row>
    <row r="4" spans="1:2" x14ac:dyDescent="0.3">
      <c r="A4" t="s">
        <v>25</v>
      </c>
      <c r="B4">
        <v>81</v>
      </c>
    </row>
    <row r="5" spans="1:2" x14ac:dyDescent="0.3">
      <c r="A5" t="s">
        <v>26</v>
      </c>
      <c r="B5">
        <v>90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2DEDB-DE72-4F56-A400-8457EC508EDA}">
  <dimension ref="A1:E4"/>
  <sheetViews>
    <sheetView workbookViewId="0">
      <selection activeCell="A4" sqref="A4"/>
    </sheetView>
  </sheetViews>
  <sheetFormatPr defaultRowHeight="14.4" x14ac:dyDescent="0.3"/>
  <cols>
    <col min="1" max="1" width="12.109375" customWidth="1"/>
    <col min="2" max="2" width="13" customWidth="1"/>
    <col min="3" max="3" width="12" bestFit="1" customWidth="1"/>
    <col min="4" max="4" width="16.21875" bestFit="1" customWidth="1"/>
    <col min="5" max="5" width="10.77734375" bestFit="1" customWidth="1"/>
  </cols>
  <sheetData>
    <row r="1" spans="1:5" x14ac:dyDescent="0.3">
      <c r="A1" t="s">
        <v>30</v>
      </c>
      <c r="B1" t="s">
        <v>31</v>
      </c>
      <c r="C1" t="s">
        <v>32</v>
      </c>
      <c r="D1" t="s">
        <v>33</v>
      </c>
      <c r="E1" t="s">
        <v>36</v>
      </c>
    </row>
    <row r="2" spans="1:5" x14ac:dyDescent="0.3">
      <c r="A2" t="s">
        <v>24</v>
      </c>
      <c r="B2" t="s">
        <v>27</v>
      </c>
      <c r="C2">
        <v>9876543210</v>
      </c>
      <c r="D2" s="1" t="s">
        <v>34</v>
      </c>
      <c r="E2" t="str">
        <f>A2&amp;" "&amp;B2</f>
        <v>Rahul Kumar</v>
      </c>
    </row>
    <row r="3" spans="1:5" x14ac:dyDescent="0.3">
      <c r="A3" t="s">
        <v>28</v>
      </c>
      <c r="B3" t="s">
        <v>29</v>
      </c>
      <c r="C3">
        <v>9123456780</v>
      </c>
      <c r="D3" s="1" t="s">
        <v>35</v>
      </c>
      <c r="E3" t="str">
        <f>A3&amp;" "&amp;B3</f>
        <v>Sneha Nair</v>
      </c>
    </row>
    <row r="4" spans="1:5" x14ac:dyDescent="0.3">
      <c r="D4" s="1"/>
    </row>
  </sheetData>
  <dataValidations count="2">
    <dataValidation type="whole" allowBlank="1" showInputMessage="1" showErrorMessage="1" errorTitle="Error" error="Invalid" sqref="C2" xr:uid="{C4D96A10-A822-452A-9036-D20FBCB0A1B4}">
      <formula1>1000000000</formula1>
      <formula2>9999999999</formula2>
    </dataValidation>
    <dataValidation type="whole" allowBlank="1" showInputMessage="1" showErrorMessage="1" sqref="C3" xr:uid="{55427025-92DE-4A7B-BAF2-90F776652578}">
      <formula1>0</formula1>
      <formula2>9999999999</formula2>
    </dataValidation>
  </dataValidations>
  <hyperlinks>
    <hyperlink ref="D2" r:id="rId1" xr:uid="{E0A90607-9AF5-4911-8919-9D14DE045046}"/>
    <hyperlink ref="D3" r:id="rId2" xr:uid="{225E9467-D54C-4488-8DE7-21C38377FD6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7785E-EDE6-43BF-B500-033D169BA88F}">
  <dimension ref="A1:D4"/>
  <sheetViews>
    <sheetView tabSelected="1" workbookViewId="0">
      <selection activeCell="E2" sqref="E2"/>
    </sheetView>
  </sheetViews>
  <sheetFormatPr defaultRowHeight="14.4" x14ac:dyDescent="0.3"/>
  <cols>
    <col min="2" max="2" width="10.109375" customWidth="1"/>
    <col min="3" max="3" width="10.5546875" customWidth="1"/>
  </cols>
  <sheetData>
    <row r="1" spans="1:4" x14ac:dyDescent="0.3">
      <c r="A1" t="s">
        <v>37</v>
      </c>
      <c r="B1" t="s">
        <v>38</v>
      </c>
      <c r="C1" t="s">
        <v>39</v>
      </c>
      <c r="D1" t="s">
        <v>43</v>
      </c>
    </row>
    <row r="2" spans="1:4" x14ac:dyDescent="0.3">
      <c r="A2" t="s">
        <v>40</v>
      </c>
      <c r="B2">
        <v>500</v>
      </c>
      <c r="C2">
        <v>800</v>
      </c>
      <c r="D2">
        <f>C2-B2</f>
        <v>300</v>
      </c>
    </row>
    <row r="3" spans="1:4" x14ac:dyDescent="0.3">
      <c r="A3" t="s">
        <v>41</v>
      </c>
      <c r="B3">
        <v>700</v>
      </c>
      <c r="C3">
        <v>850</v>
      </c>
      <c r="D3">
        <f t="shared" ref="D3:D4" si="0">C3-B3</f>
        <v>150</v>
      </c>
    </row>
    <row r="4" spans="1:4" x14ac:dyDescent="0.3">
      <c r="A4" t="s">
        <v>42</v>
      </c>
      <c r="B4">
        <v>400</v>
      </c>
      <c r="C4">
        <v>550</v>
      </c>
      <c r="D4">
        <f t="shared" si="0"/>
        <v>150</v>
      </c>
    </row>
  </sheetData>
  <scenarios current="0" show="0">
    <scenario name="High Price" locked="1" count="3" user="sreelakshmi" comment="Created by sreelakshmi on 7/29/2026">
      <inputCells r="C2" val="800"/>
      <inputCells r="C3" val="850"/>
      <inputCells r="C4" val="550"/>
    </scenario>
    <scenario name="Discount" locked="1" count="3" user="sreelakshmi" comment="Created by sreelakshmi on 7/29/2026">
      <inputCells r="C2" val="800"/>
      <inputCells r="C3" val="850"/>
      <inputCells r="C4" val="550"/>
    </scenario>
  </scenarios>
  <conditionalFormatting sqref="D2:D4">
    <cfRule type="cellIs" dxfId="1" priority="1" operator="lessThan">
      <formula>150</formula>
    </cfRule>
    <cfRule type="cellIs" dxfId="0" priority="2" operator="greaterThan">
      <formula>200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67BD4-284C-4624-91BD-9ADB258AA702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0F980D4-1031-4B99-AD16-67EF718AEBB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Text Functions</vt:lpstr>
      <vt:lpstr>Power Query</vt:lpstr>
      <vt:lpstr>Data Cleaning</vt:lpstr>
      <vt:lpstr>Text - to - Columns</vt:lpstr>
      <vt:lpstr>IF Analysis</vt:lpstr>
      <vt:lpstr>Sheet8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Sreelakshmi A</dc:creator>
  <cp:lastModifiedBy>Sreelakshmi A</cp:lastModifiedBy>
  <dcterms:created xsi:type="dcterms:W3CDTF">2026-07-27T15:06:56Z</dcterms:created>
  <dcterms:modified xsi:type="dcterms:W3CDTF">2026-07-29T15:40:19Z</dcterms:modified>
</cp:coreProperties>
</file>