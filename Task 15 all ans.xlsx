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eelakshmi\Desktop\Data Analytics\"/>
    </mc:Choice>
  </mc:AlternateContent>
  <xr:revisionPtr revIDLastSave="0" documentId="8_{32EE53EB-ED8E-4230-BED0-2F5B6BCB92A3}" xr6:coauthVersionLast="47" xr6:coauthVersionMax="47" xr10:uidLastSave="{00000000-0000-0000-0000-000000000000}"/>
  <bookViews>
    <workbookView xWindow="-108" yWindow="-108" windowWidth="23256" windowHeight="12456" activeTab="5" xr2:uid="{EC9CEF76-AD59-4CBC-8DF4-CAAFE7E243F0}"/>
  </bookViews>
  <sheets>
    <sheet name=" TOOLPAK Q1" sheetId="1" r:id="rId1"/>
    <sheet name="Q2" sheetId="2" r:id="rId2"/>
    <sheet name="Q3" sheetId="3" r:id="rId3"/>
    <sheet name="Q4" sheetId="5" r:id="rId4"/>
    <sheet name="pivot" sheetId="6" r:id="rId5"/>
    <sheet name="charts" sheetId="8" r:id="rId6"/>
  </sheets>
  <calcPr calcId="181029"/>
  <pivotCaches>
    <pivotCache cacheId="3" r:id="rId7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3" l="1"/>
  <c r="G3" i="3"/>
  <c r="G4" i="3"/>
  <c r="H2" i="3"/>
  <c r="H3" i="3"/>
  <c r="H4" i="3"/>
  <c r="D3" i="3"/>
  <c r="D2" i="3"/>
  <c r="D4" i="3"/>
  <c r="H2" i="2"/>
  <c r="H3" i="2"/>
  <c r="H4" i="2"/>
  <c r="J2" i="2"/>
  <c r="G2" i="2"/>
  <c r="G3" i="2"/>
  <c r="G4" i="2"/>
  <c r="F2" i="2"/>
  <c r="F3" i="2"/>
  <c r="F4" i="2"/>
  <c r="E2" i="2"/>
  <c r="E3" i="2"/>
  <c r="E4" i="2"/>
  <c r="D2" i="2"/>
  <c r="D3" i="2"/>
  <c r="D4" i="2"/>
</calcChain>
</file>

<file path=xl/sharedStrings.xml><?xml version="1.0" encoding="utf-8"?>
<sst xmlns="http://schemas.openxmlformats.org/spreadsheetml/2006/main" count="97" uniqueCount="78">
  <si>
    <t>Students</t>
  </si>
  <si>
    <t>A</t>
  </si>
  <si>
    <t>B</t>
  </si>
  <si>
    <t>C</t>
  </si>
  <si>
    <t>D</t>
  </si>
  <si>
    <t>E</t>
  </si>
  <si>
    <t>F</t>
  </si>
  <si>
    <t>G</t>
  </si>
  <si>
    <t>Marks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</si>
  <si>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</si>
  <si>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</si>
  <si>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</si>
  <si>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</si>
  <si>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</si>
  <si>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</si>
  <si>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</si>
  <si>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</si>
  <si>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</si>
  <si>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</si>
  <si>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</si>
  <si>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</si>
  <si>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</si>
  <si>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Std Dev</t>
  </si>
  <si>
    <t>Min</t>
  </si>
  <si>
    <t>Max</t>
  </si>
  <si>
    <t>Standard deviation is low.The marks are not widely spread</t>
  </si>
  <si>
    <t>Employee</t>
  </si>
  <si>
    <t>Ravi</t>
  </si>
  <si>
    <t>Anu</t>
  </si>
  <si>
    <t>Rahul</t>
  </si>
  <si>
    <t>Joining Date</t>
  </si>
  <si>
    <t>Resignation Date</t>
  </si>
  <si>
    <t>Current Date</t>
  </si>
  <si>
    <t>Year</t>
  </si>
  <si>
    <t>Month</t>
  </si>
  <si>
    <t>Weekday</t>
  </si>
  <si>
    <t>Years Worked</t>
  </si>
  <si>
    <t>TODAY() returns the current date only.</t>
  </si>
  <si>
    <t>NOW() returns the current date and current time.</t>
  </si>
  <si>
    <t>ID</t>
  </si>
  <si>
    <t>Name</t>
  </si>
  <si>
    <t>Department</t>
  </si>
  <si>
    <t>Arun</t>
  </si>
  <si>
    <t>Meena</t>
  </si>
  <si>
    <t>Sanjay</t>
  </si>
  <si>
    <t>IT</t>
  </si>
  <si>
    <t>HR</t>
  </si>
  <si>
    <t>Finance</t>
  </si>
  <si>
    <t>Bonus</t>
  </si>
  <si>
    <t>Name(INDEX+MATCH)</t>
  </si>
  <si>
    <t>Bonus(VLOOKUP)</t>
  </si>
  <si>
    <t>XLOOKUP</t>
  </si>
  <si>
    <t>VLOOKUP - Searches vertically</t>
  </si>
  <si>
    <t>HLOOKUP - Searches horizontally</t>
  </si>
  <si>
    <t xml:space="preserve"> ? Difference b/w VLOOKUP &amp; HLOOKUP </t>
  </si>
  <si>
    <t>? Which is more flexible.why?</t>
  </si>
  <si>
    <t>XLOOKUP is more flexible because it can search both left and right.</t>
  </si>
  <si>
    <t>Date</t>
  </si>
  <si>
    <t>Region</t>
  </si>
  <si>
    <t>Product</t>
  </si>
  <si>
    <t>North</t>
  </si>
  <si>
    <t>South</t>
  </si>
  <si>
    <t>East</t>
  </si>
  <si>
    <t>Sales</t>
  </si>
  <si>
    <t>Row Labels</t>
  </si>
  <si>
    <t>Grand Total</t>
  </si>
  <si>
    <t>Sum of Sales</t>
  </si>
  <si>
    <t>Highest sales region - North(3000)</t>
  </si>
  <si>
    <t>Advantages of pivotTables - Summarizes large amounts of data quickly.</t>
  </si>
  <si>
    <t xml:space="preserve">                                                 - Easy to filter and analyze data.</t>
  </si>
  <si>
    <t xml:space="preserve">                                                 - Makes data comparison simple.</t>
  </si>
  <si>
    <t>Jan</t>
  </si>
  <si>
    <t>Feb</t>
  </si>
  <si>
    <t>Mar</t>
  </si>
  <si>
    <t>Apr</t>
  </si>
  <si>
    <t>May</t>
  </si>
  <si>
    <t xml:space="preserve">Line chart is the best chart to show growth trend because it clearly shows  </t>
  </si>
  <si>
    <t>the increase or decrease in sales over time.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</si>
</sst>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Continuous"/>
    </xf>
    <xf numFmtId="14" fontId="0" fillId="0" borderId="0" xfId="0" applyNumberFormat="1"/>
    <xf numFmtId="22" fontId="0" fillId="0" borderId="0" xfId="0" applyNumberFormat="1"/>
    <xf numFmtId="1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21" formatCode="d\-m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15 all ans.xlsx]pivot!PivotTable1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pivot!$A$4:$A$7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pivot!$B$4:$B$7</c:f>
              <c:numCache>
                <c:formatCode>General</c:formatCode>
                <c:ptCount val="3"/>
                <c:pt idx="0">
                  <c:v>1800</c:v>
                </c:pt>
                <c:pt idx="1">
                  <c:v>3000</c:v>
                </c:pt>
                <c:pt idx="2">
                  <c:v>2700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D1-4A28-8446-327EB65663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39074640"/>
        <c:axId val="442612560"/>
      </c:barChart>
      <c:catAx>
        <c:axId val="239074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612560"/>
        <c:crosses val="autoZero"/>
        <c:auto val="1"/>
        <c:lblAlgn val="ctr"/>
        <c:lblOffset val="100"/>
        <c:noMultiLvlLbl val="0"/>
      </c:catAx>
      <c:valAx>
        <c:axId val="442612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9074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charts!$A$2:$A$6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charts!$B$2:$B$6</c:f>
              <c:numCache>
                <c:formatCode>General</c:formatCode>
                <c:ptCount val="5"/>
                <c:pt idx="0">
                  <c:v>10000</c:v>
                </c:pt>
                <c:pt idx="1">
                  <c:v>12000</c:v>
                </c:pt>
                <c:pt idx="2">
                  <c:v>15000</c:v>
                </c:pt>
                <c:pt idx="3">
                  <c:v>13000</c:v>
                </c:pt>
                <c:pt idx="4">
                  <c:v>17000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B1-4AD6-BB7D-8F0F5A2DBA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1314720"/>
        <c:axId val="536662640"/>
      </c:barChart>
      <c:catAx>
        <c:axId val="251314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6662640"/>
        <c:crosses val="autoZero"/>
        <c:auto val="1"/>
        <c:lblAlgn val="ctr"/>
        <c:lblOffset val="100"/>
        <c:noMultiLvlLbl val="0"/>
      </c:catAx>
      <c:valAx>
        <c:axId val="536662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1314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charts!$B$1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charts!$A$2:$A$6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charts!$B$2:$B$6</c:f>
              <c:numCache>
                <c:formatCode>General</c:formatCode>
                <c:ptCount val="5"/>
                <c:pt idx="0">
                  <c:v>10000</c:v>
                </c:pt>
                <c:pt idx="1">
                  <c:v>12000</c:v>
                </c:pt>
                <c:pt idx="2">
                  <c:v>15000</c:v>
                </c:pt>
                <c:pt idx="3">
                  <c:v>13000</c:v>
                </c:pt>
                <c:pt idx="4">
                  <c:v>17000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E3-48B9-BB2E-AFE58A6163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6366624"/>
        <c:axId val="536646320"/>
      </c:lineChart>
      <c:catAx>
        <c:axId val="526366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6646320"/>
        <c:crosses val="autoZero"/>
        <c:auto val="1"/>
        <c:lblAlgn val="ctr"/>
        <c:lblOffset val="100"/>
        <c:noMultiLvlLbl val="0"/>
      </c:catAx>
      <c:valAx>
        <c:axId val="536646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366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charts!$B$1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409-4D15-B13F-3F9E098829E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charts!$A$2:$A$6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charts!$B$2:$B$6</c:f>
              <c:numCache>
                <c:formatCode>General</c:formatCode>
                <c:ptCount val="5"/>
                <c:pt idx="0">
                  <c:v>10000</c:v>
                </c:pt>
                <c:pt idx="1">
                  <c:v>12000</c:v>
                </c:pt>
                <c:pt idx="2">
                  <c:v>15000</c:v>
                </c:pt>
                <c:pt idx="3">
                  <c:v>13000</c:v>
                </c:pt>
                <c:pt idx="4">
                  <c:v>17000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09-4D15-B13F-3F9E098829E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charts!$B$1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charts!$A$2:$A$6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charts!$B$2:$B$6</c:f>
              <c:numCache>
                <c:formatCode>General</c:formatCode>
                <c:ptCount val="5"/>
                <c:pt idx="0">
                  <c:v>10000</c:v>
                </c:pt>
                <c:pt idx="1">
                  <c:v>12000</c:v>
                </c:pt>
                <c:pt idx="2">
                  <c:v>15000</c:v>
                </c:pt>
                <c:pt idx="3">
                  <c:v>13000</c:v>
                </c:pt>
                <c:pt idx="4">
                  <c:v>17000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8D-4B8D-8713-79BF3C2936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58392160"/>
        <c:axId val="536655920"/>
      </c:barChart>
      <c:catAx>
        <c:axId val="6583921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6655920"/>
        <c:crosses val="autoZero"/>
        <c:auto val="1"/>
        <c:lblAlgn val="ctr"/>
        <c:lblOffset val="100"/>
        <c:noMultiLvlLbl val="0"/>
      </c:catAx>
      <c:valAx>
        <c:axId val="536655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392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251460</xdr:colOff>
      <xdr:row>5</xdr:row>
      <xdr:rowOff>3810</xdr:rowOff>
    </xdr:from>
    <xdr:to>
      <xdr:col>11</xdr:col>
      <xdr:colOff>556260</xdr:colOff>
      <xdr:row>20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80136D-C2E9-7AB7-1018-3967A9E258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91440</xdr:colOff>
      <xdr:row>0</xdr:row>
      <xdr:rowOff>68580</xdr:rowOff>
    </xdr:from>
    <xdr:to>
      <xdr:col>11</xdr:col>
      <xdr:colOff>480060</xdr:colOff>
      <xdr:row>11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D97401-DF1E-67EE-9E8F-AA6A04C677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7620</xdr:colOff>
      <xdr:row>0</xdr:row>
      <xdr:rowOff>38100</xdr:rowOff>
    </xdr:from>
    <xdr:to>
      <xdr:col>17</xdr:col>
      <xdr:colOff>480060</xdr:colOff>
      <xdr:row>11</xdr:row>
      <xdr:rowOff>110490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06FBB5E-3349-E768-597E-3D9CFC057D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99060</xdr:colOff>
      <xdr:row>11</xdr:row>
      <xdr:rowOff>175260</xdr:rowOff>
    </xdr:from>
    <xdr:to>
      <xdr:col>13</xdr:col>
      <xdr:colOff>213360</xdr:colOff>
      <xdr:row>24</xdr:row>
      <xdr:rowOff>41910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2962FB6-96E2-2EC2-7859-570899A19A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83820</xdr:colOff>
      <xdr:row>12</xdr:row>
      <xdr:rowOff>15240</xdr:rowOff>
    </xdr:from>
    <xdr:to>
      <xdr:col>18</xdr:col>
      <xdr:colOff>274320</xdr:colOff>
      <xdr:row>23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264785D-3735-2EB0-E859-30F78B8CBC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reelakshmi" refreshedDate="46237.490452199076" createdVersion="8" refreshedVersion="8" minRefreshableVersion="3" recordCount="5" xr:uid="{1238516B-CB65-4453-8CE8-C6C0A76FE062}">
  <cacheSource type="worksheet">
    <worksheetSource name="Table4"/>
  </cacheSource>
  <cacheFields count="4">
    <cacheField name="Date" numFmtId="16">
      <sharedItems containsSemiMixedTypes="0" containsNonDate="0" containsDate="1" containsString="0" minDate="2026-01-01T00:00:00" maxDate="2026-01-06T00:00:00"/>
    </cacheField>
    <cacheField name="Region" numFmtId="0">
      <sharedItems count="3">
        <s v="North"/>
        <s v="South"/>
        <s v="East"/>
      </sharedItems>
    </cacheField>
    <cacheField name="Product" numFmtId="0">
      <sharedItems/>
    </cacheField>
    <cacheField name="Sales" numFmtId="0">
      <sharedItems containsSemiMixedTypes="0" containsString="0" containsNumber="1" containsInteger="1" minValue="1000" maxValue="2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d v="2026-01-01T00:00:00"/>
    <x v="0"/>
    <s v="A"/>
    <n v="1000"/>
  </r>
  <r>
    <d v="2026-01-02T00:00:00"/>
    <x v="1"/>
    <s v="B"/>
    <n v="1500"/>
  </r>
  <r>
    <d v="2026-01-03T00:00:00"/>
    <x v="0"/>
    <s v="A"/>
    <n v="2000"/>
  </r>
  <r>
    <d v="2026-01-04T00:00:00"/>
    <x v="2"/>
    <s v="C"/>
    <n v="1800"/>
  </r>
  <r>
    <d v="2026-01-05T00:00:00"/>
    <x v="1"/>
    <s v="A"/>
    <n v="12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00D2F0-4A85-4370-ABC9-202006651EAC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7" firstHeaderRow="1" firstDataRow="1" firstDataCol="1"/>
  <pivotFields count="4">
    <pivotField numFmtId="16" showAll="0"/>
    <pivotField axis="axisRow" showAll="0">
      <items count="4">
        <item x="2"/>
        <item x="0"/>
        <item x="1"/>
        <item t="default"/>
      </items>
    </pivotField>
    <pivotField showAll="0"/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54647A-B08C-419E-9F3A-03F1C7FB5DCA}" name="Table1" displayName="Table1" ref="A1:H4" totalsRowShown="0">
  <autoFilter ref="A1:H4" xr:uid="{A754647A-B08C-419E-9F3A-03F1C7FB5DCA}"/>
  <tableColumns count="8">
    <tableColumn id="1" xr3:uid="{D6DD2A43-93DB-4CE9-A9B9-FFA0ECDA3671}" name="Employee"/>
    <tableColumn id="2" xr3:uid="{BB838C3F-B87F-4583-8037-41325835A1E0}" name="Joining Date" dataDxfId="8"/>
    <tableColumn id="3" xr3:uid="{1B0F4FDA-5307-4A08-A277-FCC97A6E1B24}" name="Resignation Date"/>
    <tableColumn id="4" xr3:uid="{294CED17-DC56-49C2-AB2D-063FD9A1B428}" name="Current Date" dataDxfId="7">
      <calculatedColumnFormula>TODAY()</calculatedColumnFormula>
    </tableColumn>
    <tableColumn id="5" xr3:uid="{45C26F3F-9F33-45BF-9C64-4D7A500A72E5}" name="Year" dataDxfId="6">
      <calculatedColumnFormula>YEAR(Table1[[#This Row],[Joining Date]])</calculatedColumnFormula>
    </tableColumn>
    <tableColumn id="6" xr3:uid="{020A5B69-A7A5-4ADD-BB15-5A1DA7A74B43}" name="Month" dataDxfId="5">
      <calculatedColumnFormula>MONTH(Table1[[#This Row],[Joining Date]])</calculatedColumnFormula>
    </tableColumn>
    <tableColumn id="7" xr3:uid="{41FD99BF-4D69-47EE-8AF4-8860531E6300}" name="Weekday" dataDxfId="4">
      <calculatedColumnFormula>WEEKDAY(Table1[[#This Row],[Joining Date]])</calculatedColumnFormula>
    </tableColumn>
    <tableColumn id="8" xr3:uid="{7FF0E10D-1623-4998-9B32-21C3EEBCF7D8}" name="Years Worked" dataDxfId="3">
      <calculatedColumnFormula>IF(C2="",DATEDIF(B2,TODAY(),"Y"),DATEDIF(B2,C2,"Y"))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810EFB-E890-4F83-8C70-C1F95D11F05A}" name="Table2" displayName="Table2" ref="A1:D4" totalsRowShown="0">
  <autoFilter ref="A1:D4" xr:uid="{04810EFB-E890-4F83-8C70-C1F95D11F05A}"/>
  <tableColumns count="4">
    <tableColumn id="1" xr3:uid="{CCDC872B-F041-49C9-A352-902FCBBCCE2A}" name="ID"/>
    <tableColumn id="2" xr3:uid="{33703338-6FDD-4A3A-A6FF-1AC0560DBA81}" name="Name"/>
    <tableColumn id="3" xr3:uid="{4BD4A8F0-D904-40D5-8D9A-EB4A32534890}" name="Department"/>
    <tableColumn id="4" xr3:uid="{BC19E3B2-BA09-4C8C-ADB2-6C9F1579274C}" name="Bonus(VLOOKUP)" dataDxfId="2">
      <calculatedColumnFormula>VLOOKUP(C2,E2:F4,2,FALSE)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DF40A8B-CD7B-4856-9BD0-7BB5AD855A28}" name="Table3" displayName="Table3" ref="E1:H4" totalsRowShown="0">
  <autoFilter ref="E1:H4" xr:uid="{EDF40A8B-CD7B-4856-9BD0-7BB5AD855A28}"/>
  <tableColumns count="4">
    <tableColumn id="1" xr3:uid="{155E12B4-6FE0-416D-8C31-72C755F48FE2}" name="Department"/>
    <tableColumn id="2" xr3:uid="{EBAECDD5-7495-4370-A931-428489AD1F98}" name="Bonus"/>
    <tableColumn id="3" xr3:uid="{AC864E2C-62DE-49AF-BEDA-1F30D4D950A7}" name="XLOOKUP" dataDxfId="1">
      <calculatedColumnFormula>INDEX(Table2[Department],MATCH(A2,Table2[ID],0))</calculatedColumnFormula>
    </tableColumn>
    <tableColumn id="4" xr3:uid="{5D86372D-26C9-45DE-AC04-A90117919369}" name="Name(INDEX+MATCH)" dataDxfId="0">
      <calculatedColumnFormula>INDEX(Table2[Name],MATCH(A2,Table2[ID],0))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37A3C4A-6BA5-49BF-BE58-522C1AA9C7CA}" name="Table4" displayName="Table4" ref="A1:D6" totalsRowShown="0">
  <autoFilter ref="A1:D6" xr:uid="{337A3C4A-6BA5-49BF-BE58-522C1AA9C7CA}"/>
  <tableColumns count="4">
    <tableColumn id="1" xr3:uid="{EC44D42E-3984-42AB-8657-9E950E920AA9}" name="Date" dataDxfId="9"/>
    <tableColumn id="2" xr3:uid="{D55DF026-B368-4E5C-8770-C38DE0184B44}" name="Region"/>
    <tableColumn id="3" xr3:uid="{94F1DC74-B1BE-492B-A5C0-4422B87B410C}" name="Product"/>
    <tableColumn id="4" xr3:uid="{20A2BA9C-DE46-4553-96DF-10E4951C0B9E}" name="Sal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31AD888-070D-46AC-874E-95EC3C023DB0}" name="Table6" displayName="Table6" ref="A1:B6" totalsRowShown="0">
  <autoFilter ref="A1:B6" xr:uid="{F31AD888-070D-46AC-874E-95EC3C023DB0}"/>
  <tableColumns count="2">
    <tableColumn id="1" xr3:uid="{BD23233D-D769-4D61-8DDB-1EE10D201C78}" name="Month"/>
    <tableColumn id="2" xr3:uid="{DBADBF1B-6253-45D8-AC11-A184E8EC964E}" name="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AA637-5184-494E-834D-722BEA4F3DAD}">
  <dimension ref="A1:E23"/>
  <sheetViews>
    <sheetView workbookViewId="0">
      <selection activeCell="A24" sqref="A24"/>
    </sheetView>
  </sheetViews>
  <sheetFormatPr defaultRowHeight="14.4" x14ac:dyDescent="0.3"/>
  <sheetData>
    <row r="1" spans="1:5" x14ac:dyDescent="0.3">
      <c r="A1" t="s">
        <v>0</v>
      </c>
      <c r="B1" t="s">
        <v>8</v>
      </c>
      <c r="D1" s="2" t="s">
        <v>8</v>
      </c>
      <c r="E1" s="2"/>
    </row>
    <row r="2" spans="1:5" x14ac:dyDescent="0.3">
      <c r="A2" t="s">
        <v>1</v>
      </c>
      <c r="B2">
        <v>65</v>
      </c>
    </row>
    <row r="3" spans="1:5" x14ac:dyDescent="0.3">
      <c r="A3" t="s">
        <v>2</v>
      </c>
      <c r="B3">
        <v>70</v>
      </c>
      <c r="D3" t="s">
        <v>9</v>
      </c>
      <c r="E3">
        <v>75</v>
      </c>
    </row>
    <row r="4" spans="1:5" x14ac:dyDescent="0.3">
      <c r="A4" t="s">
        <v>3</v>
      </c>
      <c r="B4">
        <v>75</v>
      </c>
      <c r="D4" t="s">
        <v>10</v>
      </c>
      <c r="E4">
        <v>4.0824829046386295</v>
      </c>
    </row>
    <row r="5" spans="1:5" x14ac:dyDescent="0.3">
      <c r="A5" t="s">
        <v>4</v>
      </c>
      <c r="B5">
        <v>80</v>
      </c>
      <c r="D5" t="s">
        <v>11</v>
      </c>
      <c r="E5">
        <v>75</v>
      </c>
    </row>
    <row r="6" spans="1:5" x14ac:dyDescent="0.3">
      <c r="A6" t="s">
        <v>5</v>
      </c>
      <c r="B6">
        <v>90</v>
      </c>
      <c r="D6" t="s">
        <v>12</v>
      </c>
      <c r="E6" t="e">
        <v>#N/A</v>
      </c>
    </row>
    <row r="7" spans="1:5" x14ac:dyDescent="0.3">
      <c r="A7" t="s">
        <v>6</v>
      </c>
      <c r="B7">
        <v>85</v>
      </c>
      <c r="D7" t="s">
        <v>13</v>
      </c>
      <c r="E7">
        <v>10.801234497346433</v>
      </c>
    </row>
    <row r="8" spans="1:5" x14ac:dyDescent="0.3">
      <c r="A8" t="s">
        <v>7</v>
      </c>
      <c r="B8">
        <v>60</v>
      </c>
      <c r="D8" t="s">
        <v>14</v>
      </c>
      <c r="E8">
        <v>116.66666666666667</v>
      </c>
    </row>
    <row r="9" spans="1:5" x14ac:dyDescent="0.3">
      <c r="D9" t="s">
        <v>15</v>
      </c>
      <c r="E9">
        <v>-1.2000000000000011</v>
      </c>
    </row>
    <row r="10" spans="1:5" x14ac:dyDescent="0.3">
      <c r="D10" t="s">
        <v>16</v>
      </c>
      <c r="E10">
        <v>0</v>
      </c>
    </row>
    <row r="11" spans="1:5" x14ac:dyDescent="0.3">
      <c r="D11" t="s">
        <v>17</v>
      </c>
      <c r="E11">
        <v>30</v>
      </c>
    </row>
    <row r="12" spans="1:5" x14ac:dyDescent="0.3">
      <c r="D12" t="s">
        <v>18</v>
      </c>
      <c r="E12">
        <v>60</v>
      </c>
    </row>
    <row r="13" spans="1:5" x14ac:dyDescent="0.3">
      <c r="D13" t="s">
        <v>19</v>
      </c>
      <c r="E13">
        <v>90</v>
      </c>
    </row>
    <row r="14" spans="1:5" x14ac:dyDescent="0.3">
      <c r="D14" t="s">
        <v>20</v>
      </c>
      <c r="E14">
        <v>525</v>
      </c>
    </row>
    <row r="15" spans="1:5" ht="15" thickBot="1" x14ac:dyDescent="0.35">
      <c r="D15" s="1" t="s">
        <v>21</v>
      </c>
      <c r="E15" s="1">
        <v>7</v>
      </c>
    </row>
    <row r="18" spans="1:2" x14ac:dyDescent="0.3">
      <c r="A18" t="s">
        <v>9</v>
      </c>
      <c r="B18">
        <v>75</v>
      </c>
    </row>
    <row r="19" spans="1:2" x14ac:dyDescent="0.3">
      <c r="A19" t="s">
        <v>11</v>
      </c>
      <c r="B19">
        <v>75</v>
      </c>
    </row>
    <row r="20" spans="1:2" x14ac:dyDescent="0.3">
      <c r="A20" t="s">
        <v>22</v>
      </c>
      <c r="B20">
        <v>10.8</v>
      </c>
    </row>
    <row r="21" spans="1:2" x14ac:dyDescent="0.3">
      <c r="A21" t="s">
        <v>23</v>
      </c>
      <c r="B21">
        <v>60</v>
      </c>
    </row>
    <row r="22" spans="1:2" x14ac:dyDescent="0.3">
      <c r="A22" t="s">
        <v>24</v>
      </c>
      <c r="B22">
        <v>90</v>
      </c>
    </row>
    <row r="23" spans="1:2" x14ac:dyDescent="0.3">
      <c r="A23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7A7E5-234A-4D1E-BEA4-2E20A269F92B}">
  <dimension ref="A1:J8"/>
  <sheetViews>
    <sheetView workbookViewId="0">
      <selection activeCell="A8" sqref="A8"/>
    </sheetView>
  </sheetViews>
  <sheetFormatPr defaultRowHeight="14.4" x14ac:dyDescent="0.3"/>
  <cols>
    <col min="1" max="1" width="11.21875" customWidth="1"/>
    <col min="2" max="2" width="13.109375" customWidth="1"/>
    <col min="3" max="3" width="17" customWidth="1"/>
    <col min="4" max="4" width="14.109375" customWidth="1"/>
    <col min="5" max="5" width="9.21875" customWidth="1"/>
    <col min="8" max="8" width="15.5546875" customWidth="1"/>
    <col min="10" max="10" width="14.6640625" bestFit="1" customWidth="1"/>
  </cols>
  <sheetData>
    <row r="1" spans="1:10" x14ac:dyDescent="0.3">
      <c r="A1" t="s">
        <v>26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</row>
    <row r="2" spans="1:10" x14ac:dyDescent="0.3">
      <c r="A2" t="s">
        <v>27</v>
      </c>
      <c r="B2" s="3">
        <v>43831</v>
      </c>
      <c r="C2" s="3">
        <v>45000</v>
      </c>
      <c r="D2" s="3">
        <f t="shared" ref="D2:D4" ca="1" si="0">TODAY()</f>
        <v>46237</v>
      </c>
      <c r="E2">
        <f>YEAR(Table1[[#This Row],[Joining Date]])</f>
        <v>2020</v>
      </c>
      <c r="F2">
        <f>MONTH(Table1[[#This Row],[Joining Date]])</f>
        <v>1</v>
      </c>
      <c r="G2">
        <f>WEEKDAY(Table1[[#This Row],[Joining Date]])</f>
        <v>4</v>
      </c>
      <c r="H2">
        <f t="shared" ref="H2:H4" ca="1" si="1">IF(C2="",DATEDIF(B2,TODAY(),"Y"),DATEDIF(B2,C2,"Y"))</f>
        <v>3</v>
      </c>
      <c r="J2" s="4">
        <f ca="1">NOW()</f>
        <v>46237.51813611111</v>
      </c>
    </row>
    <row r="3" spans="1:10" x14ac:dyDescent="0.3">
      <c r="A3" t="s">
        <v>28</v>
      </c>
      <c r="B3" s="3">
        <v>43595</v>
      </c>
      <c r="C3" s="3">
        <v>44691</v>
      </c>
      <c r="D3" s="3">
        <f t="shared" ca="1" si="0"/>
        <v>46237</v>
      </c>
      <c r="E3">
        <f>YEAR(Table1[[#This Row],[Joining Date]])</f>
        <v>2019</v>
      </c>
      <c r="F3">
        <f>MONTH(Table1[[#This Row],[Joining Date]])</f>
        <v>5</v>
      </c>
      <c r="G3">
        <f>WEEKDAY(Table1[[#This Row],[Joining Date]])</f>
        <v>6</v>
      </c>
      <c r="H3">
        <f t="shared" ca="1" si="1"/>
        <v>3</v>
      </c>
    </row>
    <row r="4" spans="1:10" x14ac:dyDescent="0.3">
      <c r="A4" t="s">
        <v>29</v>
      </c>
      <c r="B4" s="3">
        <v>44423</v>
      </c>
      <c r="D4" s="3">
        <f t="shared" ca="1" si="0"/>
        <v>46237</v>
      </c>
      <c r="E4">
        <f>YEAR(Table1[[#This Row],[Joining Date]])</f>
        <v>2021</v>
      </c>
      <c r="F4">
        <f>MONTH(Table1[[#This Row],[Joining Date]])</f>
        <v>8</v>
      </c>
      <c r="G4">
        <f>WEEKDAY(Table1[[#This Row],[Joining Date]])</f>
        <v>1</v>
      </c>
      <c r="H4">
        <f t="shared" ca="1" si="1"/>
        <v>4</v>
      </c>
    </row>
    <row r="7" spans="1:10" x14ac:dyDescent="0.3">
      <c r="A7" t="s">
        <v>37</v>
      </c>
    </row>
    <row r="8" spans="1:10" x14ac:dyDescent="0.3">
      <c r="A8" t="s">
        <v>38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13413-9FDE-4FB8-80BE-886F095A579B}">
  <dimension ref="A1:H12"/>
  <sheetViews>
    <sheetView workbookViewId="0">
      <selection activeCell="A12" sqref="A12"/>
    </sheetView>
  </sheetViews>
  <sheetFormatPr defaultRowHeight="14.4" x14ac:dyDescent="0.3"/>
  <cols>
    <col min="3" max="3" width="13" customWidth="1"/>
    <col min="4" max="4" width="24.77734375" customWidth="1"/>
    <col min="5" max="5" width="13" customWidth="1"/>
    <col min="7" max="7" width="12.44140625" customWidth="1"/>
    <col min="8" max="8" width="22.44140625" customWidth="1"/>
  </cols>
  <sheetData>
    <row r="1" spans="1:8" x14ac:dyDescent="0.3">
      <c r="A1" t="s">
        <v>39</v>
      </c>
      <c r="B1" t="s">
        <v>40</v>
      </c>
      <c r="C1" t="s">
        <v>41</v>
      </c>
      <c r="D1" t="s">
        <v>50</v>
      </c>
      <c r="E1" t="s">
        <v>41</v>
      </c>
      <c r="F1" t="s">
        <v>48</v>
      </c>
      <c r="G1" t="s">
        <v>51</v>
      </c>
      <c r="H1" t="s">
        <v>49</v>
      </c>
    </row>
    <row r="2" spans="1:8" x14ac:dyDescent="0.3">
      <c r="A2">
        <v>101</v>
      </c>
      <c r="B2" t="s">
        <v>42</v>
      </c>
      <c r="C2" t="s">
        <v>45</v>
      </c>
      <c r="D2">
        <f t="shared" ref="D2:D4" si="0">VLOOKUP(C2,E2:F4,2,FALSE)</f>
        <v>5000</v>
      </c>
      <c r="E2" t="s">
        <v>45</v>
      </c>
      <c r="F2">
        <v>5000</v>
      </c>
      <c r="G2" t="str">
        <f>INDEX(Table2[Department],MATCH(A2,Table2[ID],0))</f>
        <v>IT</v>
      </c>
      <c r="H2" t="str">
        <f>INDEX(Table2[Name],MATCH(A2,Table2[ID],0))</f>
        <v>Arun</v>
      </c>
    </row>
    <row r="3" spans="1:8" x14ac:dyDescent="0.3">
      <c r="A3">
        <v>102</v>
      </c>
      <c r="B3" t="s">
        <v>43</v>
      </c>
      <c r="C3" t="s">
        <v>46</v>
      </c>
      <c r="D3">
        <f>VLOOKUP(C3,E3:F5,2,FALSE)</f>
        <v>3000</v>
      </c>
      <c r="E3" t="s">
        <v>46</v>
      </c>
      <c r="F3">
        <v>3000</v>
      </c>
      <c r="G3" t="str">
        <f>INDEX(Table2[Department],MATCH(A3,Table2[ID],0))</f>
        <v>HR</v>
      </c>
      <c r="H3" t="str">
        <f>INDEX(Table2[Name],MATCH(A3,Table2[ID],0))</f>
        <v>Meena</v>
      </c>
    </row>
    <row r="4" spans="1:8" x14ac:dyDescent="0.3">
      <c r="A4">
        <v>103</v>
      </c>
      <c r="B4" t="s">
        <v>44</v>
      </c>
      <c r="C4" t="s">
        <v>47</v>
      </c>
      <c r="D4">
        <f t="shared" si="0"/>
        <v>4000</v>
      </c>
      <c r="E4" t="s">
        <v>47</v>
      </c>
      <c r="F4">
        <v>4000</v>
      </c>
      <c r="G4" t="str">
        <f>INDEX(Table2[Department],MATCH(A4,Table2[ID],0))</f>
        <v>Finance</v>
      </c>
      <c r="H4" t="str">
        <f>INDEX(Table2[Name],MATCH(A4,Table2[ID],0))</f>
        <v>Sanjay</v>
      </c>
    </row>
    <row r="7" spans="1:8" x14ac:dyDescent="0.3">
      <c r="A7" t="s">
        <v>54</v>
      </c>
    </row>
    <row r="8" spans="1:8" x14ac:dyDescent="0.3">
      <c r="A8" t="s">
        <v>52</v>
      </c>
    </row>
    <row r="9" spans="1:8" x14ac:dyDescent="0.3">
      <c r="A9" t="s">
        <v>53</v>
      </c>
    </row>
    <row r="11" spans="1:8" x14ac:dyDescent="0.3">
      <c r="A11" t="s">
        <v>55</v>
      </c>
    </row>
    <row r="12" spans="1:8" x14ac:dyDescent="0.3">
      <c r="A12" t="s">
        <v>56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79CF0-0BD8-4215-B2DC-0920FFD27600}">
  <dimension ref="A1:D13"/>
  <sheetViews>
    <sheetView workbookViewId="0">
      <selection activeCell="A13" sqref="A13"/>
    </sheetView>
  </sheetViews>
  <sheetFormatPr defaultRowHeight="14.4" x14ac:dyDescent="0.3"/>
  <cols>
    <col min="3" max="3" width="9.5546875" customWidth="1"/>
  </cols>
  <sheetData>
    <row r="1" spans="1:4" x14ac:dyDescent="0.3">
      <c r="A1" t="s">
        <v>57</v>
      </c>
      <c r="B1" t="s">
        <v>58</v>
      </c>
      <c r="C1" t="s">
        <v>59</v>
      </c>
      <c r="D1" t="s">
        <v>63</v>
      </c>
    </row>
    <row r="2" spans="1:4" x14ac:dyDescent="0.3">
      <c r="A2" s="5">
        <v>46023</v>
      </c>
      <c r="B2" t="s">
        <v>60</v>
      </c>
      <c r="C2" t="s">
        <v>1</v>
      </c>
      <c r="D2">
        <v>1000</v>
      </c>
    </row>
    <row r="3" spans="1:4" x14ac:dyDescent="0.3">
      <c r="A3" s="5">
        <v>46024</v>
      </c>
      <c r="B3" t="s">
        <v>61</v>
      </c>
      <c r="C3" t="s">
        <v>2</v>
      </c>
      <c r="D3">
        <v>1500</v>
      </c>
    </row>
    <row r="4" spans="1:4" x14ac:dyDescent="0.3">
      <c r="A4" s="5">
        <v>46025</v>
      </c>
      <c r="B4" t="s">
        <v>60</v>
      </c>
      <c r="C4" t="s">
        <v>1</v>
      </c>
      <c r="D4">
        <v>2000</v>
      </c>
    </row>
    <row r="5" spans="1:4" x14ac:dyDescent="0.3">
      <c r="A5" s="5">
        <v>46026</v>
      </c>
      <c r="B5" t="s">
        <v>62</v>
      </c>
      <c r="C5" t="s">
        <v>3</v>
      </c>
      <c r="D5">
        <v>1800</v>
      </c>
    </row>
    <row r="6" spans="1:4" x14ac:dyDescent="0.3">
      <c r="A6" s="5">
        <v>46027</v>
      </c>
      <c r="B6" t="s">
        <v>61</v>
      </c>
      <c r="C6" t="s">
        <v>1</v>
      </c>
      <c r="D6">
        <v>1200</v>
      </c>
    </row>
    <row r="10" spans="1:4" x14ac:dyDescent="0.3">
      <c r="A10" t="s">
        <v>67</v>
      </c>
    </row>
    <row r="11" spans="1:4" x14ac:dyDescent="0.3">
      <c r="A11" t="s">
        <v>68</v>
      </c>
    </row>
    <row r="12" spans="1:4" x14ac:dyDescent="0.3">
      <c r="A12" t="s">
        <v>69</v>
      </c>
    </row>
    <row r="13" spans="1:4" x14ac:dyDescent="0.3">
      <c r="A13" t="s">
        <v>70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5C1CC-B408-4916-B86F-D274285AC4D7}">
  <dimension ref="A3:B7"/>
  <sheetViews>
    <sheetView workbookViewId="0">
      <selection activeCell="A4" sqref="A4:B4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3" spans="1:2" x14ac:dyDescent="0.3">
      <c r="A3" s="6" t="s">
        <v>64</v>
      </c>
      <c r="B3" t="s">
        <v>66</v>
      </c>
    </row>
    <row r="4" spans="1:2" x14ac:dyDescent="0.3">
      <c r="A4" s="7" t="s">
        <v>62</v>
      </c>
      <c r="B4" s="8">
        <v>1800</v>
      </c>
    </row>
    <row r="5" spans="1:2" x14ac:dyDescent="0.3">
      <c r="A5" s="7" t="s">
        <v>60</v>
      </c>
      <c r="B5" s="8">
        <v>3000</v>
      </c>
    </row>
    <row r="6" spans="1:2" x14ac:dyDescent="0.3">
      <c r="A6" s="7" t="s">
        <v>61</v>
      </c>
      <c r="B6" s="8">
        <v>2700</v>
      </c>
    </row>
    <row r="7" spans="1:2" x14ac:dyDescent="0.3">
      <c r="A7" s="7" t="s">
        <v>65</v>
      </c>
      <c r="B7" s="8">
        <v>7500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BF2C2-1EA7-46AA-977A-7052ABD1DB9F}">
  <dimension ref="A1:B16"/>
  <sheetViews>
    <sheetView tabSelected="1" workbookViewId="0">
      <selection activeCell="A16" sqref="A16"/>
    </sheetView>
  </sheetViews>
  <sheetFormatPr defaultRowHeight="14.4" x14ac:dyDescent="0.3"/>
  <sheetData>
    <row r="1" spans="1:2" x14ac:dyDescent="0.3">
      <c r="A1" t="s">
        <v>34</v>
      </c>
      <c r="B1" t="s">
        <v>63</v>
      </c>
    </row>
    <row r="2" spans="1:2" x14ac:dyDescent="0.3">
      <c r="A2" t="s">
        <v>71</v>
      </c>
      <c r="B2">
        <v>10000</v>
      </c>
    </row>
    <row r="3" spans="1:2" x14ac:dyDescent="0.3">
      <c r="A3" t="s">
        <v>72</v>
      </c>
      <c r="B3">
        <v>12000</v>
      </c>
    </row>
    <row r="4" spans="1:2" x14ac:dyDescent="0.3">
      <c r="A4" t="s">
        <v>73</v>
      </c>
      <c r="B4">
        <v>15000</v>
      </c>
    </row>
    <row r="5" spans="1:2" x14ac:dyDescent="0.3">
      <c r="A5" t="s">
        <v>74</v>
      </c>
      <c r="B5">
        <v>13000</v>
      </c>
    </row>
    <row r="6" spans="1:2" x14ac:dyDescent="0.3">
      <c r="A6" t="s">
        <v>75</v>
      </c>
      <c r="B6">
        <v>17000</v>
      </c>
    </row>
    <row r="15" spans="1:2" x14ac:dyDescent="0.3">
      <c r="A15" t="s">
        <v>76</v>
      </c>
    </row>
    <row r="16" spans="1:2" x14ac:dyDescent="0.3">
      <c r="A16" t="s">
        <v>77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 TOOLPAK Q1</vt:lpstr>
      <vt:lpstr>Q2</vt:lpstr>
      <vt:lpstr>Q3</vt:lpstr>
      <vt:lpstr>Q4</vt:lpstr>
      <vt:lpstr>pivot</vt:lpstr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Sreelakshmi A</dc:creator>
  <cp:lastModifiedBy>Sreelakshmi A</cp:lastModifiedBy>
  <dcterms:created xsi:type="dcterms:W3CDTF">2026-07-31T14:23:06Z</dcterms:created>
  <dcterms:modified xsi:type="dcterms:W3CDTF">2026-08-03T06:56:07Z</dcterms:modified>
</cp:coreProperties>
</file>