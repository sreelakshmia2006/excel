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akshmi\Desktop\Data Analytics\"/>
    </mc:Choice>
  </mc:AlternateContent>
  <xr:revisionPtr revIDLastSave="0" documentId="8_{E9E6412B-4A52-4A64-87BE-DE9371BD7300}" xr6:coauthVersionLast="47" xr6:coauthVersionMax="47" xr10:uidLastSave="{00000000-0000-0000-0000-000000000000}"/>
  <bookViews>
    <workbookView xWindow="-108" yWindow="-108" windowWidth="23256" windowHeight="12456" activeTab="4" xr2:uid="{21905020-5203-4843-AF46-3C35E0348D2D}"/>
  </bookViews>
  <sheets>
    <sheet name="Task 5 Q1" sheetId="1" r:id="rId1"/>
    <sheet name="Q2" sheetId="2" r:id="rId2"/>
    <sheet name="Q3" sheetId="3" r:id="rId3"/>
    <sheet name="Q4" sheetId="4" r:id="rId4"/>
    <sheet name="Q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5" l="1"/>
  <c r="E11" i="5"/>
  <c r="E10" i="5"/>
  <c r="E9" i="5"/>
  <c r="D2" i="5"/>
  <c r="D3" i="5"/>
  <c r="D4" i="5"/>
  <c r="D5" i="5"/>
  <c r="D6" i="5"/>
  <c r="B11" i="4"/>
  <c r="B10" i="4"/>
  <c r="B9" i="4"/>
  <c r="B8" i="4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<sst xmlns="http://schemas.openxmlformats.org/spreadsheetml/2006/main" count="76" uniqueCount="65">
  <si>
    <t>Order ID</t>
  </si>
  <si>
    <t>Customer Name</t>
  </si>
  <si>
    <t>Product</t>
  </si>
  <si>
    <t>Category</t>
  </si>
  <si>
    <t>Sales</t>
  </si>
  <si>
    <t>Feedback</t>
  </si>
  <si>
    <t>Ravi</t>
  </si>
  <si>
    <t>Meera</t>
  </si>
  <si>
    <t>Arun</t>
  </si>
  <si>
    <t>Diya</t>
  </si>
  <si>
    <t>Laptop</t>
  </si>
  <si>
    <t>Shoes</t>
  </si>
  <si>
    <t>Phone</t>
  </si>
  <si>
    <t>Watch</t>
  </si>
  <si>
    <t>Electronics</t>
  </si>
  <si>
    <t>Fashion</t>
  </si>
  <si>
    <t>Good quality</t>
  </si>
  <si>
    <t>Comfortable</t>
  </si>
  <si>
    <t>Excellent</t>
  </si>
  <si>
    <t>Nice design</t>
  </si>
  <si>
    <t>Q1. Identify the type of this dataset - Structured</t>
  </si>
  <si>
    <t>Q2. Type of data is the ""Feedback"" column? - Structured</t>
  </si>
  <si>
    <t>Q3. Stages of data analysis lifecycle used to analyze this dataset. - Data Collection,Data cleaning,Data exploration &amp; Analysis, Data Modelling, Data visualization, Decision Making</t>
  </si>
  <si>
    <t>Q4.Stage involves cleaning missing values - Data Cleaning</t>
  </si>
  <si>
    <t>Q5. Stage involves creating charts or reports - Data Visualization</t>
  </si>
  <si>
    <t>Marks</t>
  </si>
  <si>
    <t>MEAN</t>
  </si>
  <si>
    <t>MEDIAN</t>
  </si>
  <si>
    <t xml:space="preserve">MODE </t>
  </si>
  <si>
    <t>Variance</t>
  </si>
  <si>
    <t>Standard Deviation</t>
  </si>
  <si>
    <t>Spread of data</t>
  </si>
  <si>
    <t>Emp ID</t>
  </si>
  <si>
    <t>Nme</t>
  </si>
  <si>
    <t>Department</t>
  </si>
  <si>
    <t>Salary</t>
  </si>
  <si>
    <t>Asha</t>
  </si>
  <si>
    <t>Kiran</t>
  </si>
  <si>
    <t>Manu</t>
  </si>
  <si>
    <t>Neha</t>
  </si>
  <si>
    <t>HR</t>
  </si>
  <si>
    <t>IT</t>
  </si>
  <si>
    <t>Month</t>
  </si>
  <si>
    <t xml:space="preserve">Jan </t>
  </si>
  <si>
    <t>Feb</t>
  </si>
  <si>
    <t>Mar</t>
  </si>
  <si>
    <t>Apr</t>
  </si>
  <si>
    <t>May</t>
  </si>
  <si>
    <t>SUM</t>
  </si>
  <si>
    <t>MIN Sales</t>
  </si>
  <si>
    <t>MAX Sales</t>
  </si>
  <si>
    <t>No of Months</t>
  </si>
  <si>
    <t>Name</t>
  </si>
  <si>
    <t>Anu</t>
  </si>
  <si>
    <t>Rahul</t>
  </si>
  <si>
    <t>Sneha</t>
  </si>
  <si>
    <t>Arjun</t>
  </si>
  <si>
    <t>Meena</t>
  </si>
  <si>
    <t>Science</t>
  </si>
  <si>
    <t>Commerce</t>
  </si>
  <si>
    <t>Column1</t>
  </si>
  <si>
    <t>Average Mark</t>
  </si>
  <si>
    <t>Total marks of Science Students</t>
  </si>
  <si>
    <t>Average Marks of Commerce students</t>
  </si>
  <si>
    <t>Student scored&gt;=60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</si>
</sst>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72F2B-062F-4F4A-BA17-F8665EC0C42B}" name="Table1" displayName="Table1" ref="A1:B6" totalsRowShown="0">
  <autoFilter ref="A1:B6" xr:uid="{E2072F2B-062F-4F4A-BA17-F8665EC0C42B}"/>
  <tableColumns count="2">
    <tableColumn id="1" xr3:uid="{E0F8056C-0EA6-418A-835E-E78883E856B7}" name="Month"/>
    <tableColumn id="2" xr3:uid="{1010AE53-0200-48C8-B634-91C70286E682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9081D7-8AC1-46C5-A137-14D1DC7F4811}" name="Table2" displayName="Table2" ref="A1:D6" totalsRowShown="0">
  <autoFilter ref="A1:D6" xr:uid="{B19081D7-8AC1-46C5-A137-14D1DC7F4811}"/>
  <tableColumns count="4">
    <tableColumn id="1" xr3:uid="{D1388905-F52D-487D-8D44-C4EAD32AA20B}" name="Name"/>
    <tableColumn id="2" xr3:uid="{78FAEBEF-2999-4C59-806B-861E37E09235}" name="Department"/>
    <tableColumn id="3" xr3:uid="{5DA8DA1A-E34F-49FC-BCA4-3B9CB6487BF2}" name="Marks"/>
    <tableColumn id="4" xr3:uid="{611AD551-F8DF-48AB-8097-3C81A85BBBBA}" name="Column1" dataDxfId="0">
      <calculatedColumnFormula>IF(Table2[[#This Row],[Marks]]&gt;=50,"pass","fail")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CC16-2284-4437-BBB4-C51E456E7A59}">
  <dimension ref="A1:F12"/>
  <sheetViews>
    <sheetView workbookViewId="0">
      <selection activeCell="A13" sqref="A13"/>
    </sheetView>
  </sheetViews>
  <sheetFormatPr defaultRowHeight="14.4" x14ac:dyDescent="0.3"/>
  <cols>
    <col min="2" max="2" width="13.6640625" customWidth="1"/>
    <col min="4" max="4" width="10.21875" customWidth="1"/>
    <col min="6" max="6" width="1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 t="s">
        <v>10</v>
      </c>
      <c r="D2" t="s">
        <v>14</v>
      </c>
      <c r="E2">
        <v>50000</v>
      </c>
      <c r="F2" t="s">
        <v>16</v>
      </c>
    </row>
    <row r="3" spans="1:6" x14ac:dyDescent="0.3">
      <c r="A3">
        <v>102</v>
      </c>
      <c r="B3" t="s">
        <v>7</v>
      </c>
      <c r="C3" t="s">
        <v>11</v>
      </c>
      <c r="D3" t="s">
        <v>15</v>
      </c>
      <c r="E3">
        <v>3000</v>
      </c>
      <c r="F3" t="s">
        <v>17</v>
      </c>
    </row>
    <row r="4" spans="1:6" x14ac:dyDescent="0.3">
      <c r="A4">
        <v>103</v>
      </c>
      <c r="B4" t="s">
        <v>8</v>
      </c>
      <c r="C4" t="s">
        <v>12</v>
      </c>
      <c r="D4" t="s">
        <v>14</v>
      </c>
      <c r="E4">
        <v>20000</v>
      </c>
      <c r="F4" t="s">
        <v>18</v>
      </c>
    </row>
    <row r="5" spans="1:6" x14ac:dyDescent="0.3">
      <c r="A5">
        <v>104</v>
      </c>
      <c r="B5" t="s">
        <v>9</v>
      </c>
      <c r="C5" t="s">
        <v>13</v>
      </c>
      <c r="D5" t="s">
        <v>15</v>
      </c>
      <c r="E5">
        <v>2500</v>
      </c>
      <c r="F5" t="s">
        <v>19</v>
      </c>
    </row>
    <row r="8" spans="1:6" x14ac:dyDescent="0.3">
      <c r="A8" t="s">
        <v>20</v>
      </c>
    </row>
    <row r="9" spans="1:6" x14ac:dyDescent="0.3">
      <c r="A9" t="s">
        <v>21</v>
      </c>
    </row>
    <row r="10" spans="1:6" x14ac:dyDescent="0.3">
      <c r="A10" t="s">
        <v>22</v>
      </c>
    </row>
    <row r="11" spans="1:6" x14ac:dyDescent="0.3">
      <c r="A11" t="s">
        <v>23</v>
      </c>
    </row>
    <row r="12" spans="1:6" x14ac:dyDescent="0.3">
      <c r="A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CF5E-08EF-47A3-872A-33DCE1BD9314}">
  <dimension ref="A1:B15"/>
  <sheetViews>
    <sheetView workbookViewId="0">
      <selection activeCell="B15" sqref="B15"/>
    </sheetView>
  </sheetViews>
  <sheetFormatPr defaultRowHeight="14.4" x14ac:dyDescent="0.3"/>
  <cols>
    <col min="1" max="1" width="16.44140625" customWidth="1"/>
  </cols>
  <sheetData>
    <row r="1" spans="1:2" x14ac:dyDescent="0.3">
      <c r="A1" t="s">
        <v>25</v>
      </c>
    </row>
    <row r="2" spans="1:2" x14ac:dyDescent="0.3">
      <c r="A2">
        <v>45</v>
      </c>
    </row>
    <row r="3" spans="1:2" x14ac:dyDescent="0.3">
      <c r="A3">
        <v>60</v>
      </c>
    </row>
    <row r="4" spans="1:2" x14ac:dyDescent="0.3">
      <c r="A4">
        <v>75</v>
      </c>
    </row>
    <row r="5" spans="1:2" x14ac:dyDescent="0.3">
      <c r="A5">
        <v>60</v>
      </c>
    </row>
    <row r="6" spans="1:2" x14ac:dyDescent="0.3">
      <c r="A6">
        <v>90</v>
      </c>
    </row>
    <row r="7" spans="1:2" x14ac:dyDescent="0.3">
      <c r="A7">
        <v>30</v>
      </c>
    </row>
    <row r="10" spans="1:2" x14ac:dyDescent="0.3">
      <c r="A10" t="s">
        <v>26</v>
      </c>
      <c r="B10">
        <f>AVERAGE(A2:A7)</f>
        <v>60</v>
      </c>
    </row>
    <row r="11" spans="1:2" x14ac:dyDescent="0.3">
      <c r="A11" t="s">
        <v>27</v>
      </c>
      <c r="B11">
        <f>MEDIAN(A2:A7)</f>
        <v>60</v>
      </c>
    </row>
    <row r="12" spans="1:2" x14ac:dyDescent="0.3">
      <c r="A12" t="s">
        <v>28</v>
      </c>
      <c r="B12">
        <f>_xlfn.MODE.SNGL(A2:A7)</f>
        <v>60</v>
      </c>
    </row>
    <row r="13" spans="1:2" x14ac:dyDescent="0.3">
      <c r="A13" t="s">
        <v>29</v>
      </c>
      <c r="B13">
        <f>_xlfn.VAR.S(A2:A7)</f>
        <v>450</v>
      </c>
    </row>
    <row r="14" spans="1:2" x14ac:dyDescent="0.3">
      <c r="A14" t="s">
        <v>30</v>
      </c>
      <c r="B14">
        <f>_xlfn.STDEV.S(A2:A7)</f>
        <v>21.213203435596427</v>
      </c>
    </row>
    <row r="15" spans="1:2" x14ac:dyDescent="0.3">
      <c r="A15" t="s">
        <v>31</v>
      </c>
      <c r="B1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ECE5-54C7-4062-AD18-95F8F275BA65}">
  <dimension ref="A1:D5"/>
  <sheetViews>
    <sheetView workbookViewId="0">
      <selection activeCell="E3" sqref="E3"/>
    </sheetView>
  </sheetViews>
  <sheetFormatPr defaultRowHeight="14.4" x14ac:dyDescent="0.3"/>
  <cols>
    <col min="3" max="3" width="11.109375" customWidth="1"/>
  </cols>
  <sheetData>
    <row r="1" spans="1:4" x14ac:dyDescent="0.3">
      <c r="A1" t="s">
        <v>32</v>
      </c>
      <c r="B1" t="s">
        <v>33</v>
      </c>
      <c r="C1" t="s">
        <v>34</v>
      </c>
      <c r="D1" t="s">
        <v>35</v>
      </c>
    </row>
    <row r="2" spans="1:4" x14ac:dyDescent="0.3">
      <c r="A2">
        <v>1</v>
      </c>
      <c r="B2" t="s">
        <v>36</v>
      </c>
      <c r="C2" t="s">
        <v>40</v>
      </c>
      <c r="D2">
        <v>25000</v>
      </c>
    </row>
    <row r="3" spans="1:4" x14ac:dyDescent="0.3">
      <c r="A3">
        <v>2</v>
      </c>
      <c r="B3" t="s">
        <v>37</v>
      </c>
      <c r="C3" t="s">
        <v>41</v>
      </c>
      <c r="D3">
        <v>40000</v>
      </c>
    </row>
    <row r="4" spans="1:4" x14ac:dyDescent="0.3">
      <c r="A4">
        <v>3</v>
      </c>
      <c r="B4" t="s">
        <v>38</v>
      </c>
      <c r="C4" t="s">
        <v>4</v>
      </c>
      <c r="D4">
        <v>30000</v>
      </c>
    </row>
    <row r="5" spans="1:4" x14ac:dyDescent="0.3">
      <c r="A5">
        <v>4</v>
      </c>
      <c r="B5" t="s">
        <v>39</v>
      </c>
      <c r="C5" t="s">
        <v>41</v>
      </c>
      <c r="D5"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6A2E-40F6-419E-B33C-FB38AB21F3DC}">
  <dimension ref="A1:B11"/>
  <sheetViews>
    <sheetView workbookViewId="0">
      <selection activeCell="B12" sqref="B12"/>
    </sheetView>
  </sheetViews>
  <sheetFormatPr defaultRowHeight="14.4" x14ac:dyDescent="0.3"/>
  <cols>
    <col min="1" max="1" width="12.88671875" customWidth="1"/>
    <col min="2" max="2" width="11.5546875" customWidth="1"/>
  </cols>
  <sheetData>
    <row r="1" spans="1:2" x14ac:dyDescent="0.3">
      <c r="A1" t="s">
        <v>42</v>
      </c>
      <c r="B1" t="s">
        <v>4</v>
      </c>
    </row>
    <row r="2" spans="1:2" x14ac:dyDescent="0.3">
      <c r="A2" t="s">
        <v>43</v>
      </c>
      <c r="B2">
        <v>10000</v>
      </c>
    </row>
    <row r="3" spans="1:2" x14ac:dyDescent="0.3">
      <c r="A3" t="s">
        <v>44</v>
      </c>
      <c r="B3">
        <v>15000</v>
      </c>
    </row>
    <row r="4" spans="1:2" x14ac:dyDescent="0.3">
      <c r="A4" t="s">
        <v>45</v>
      </c>
      <c r="B4">
        <v>12000</v>
      </c>
    </row>
    <row r="5" spans="1:2" x14ac:dyDescent="0.3">
      <c r="A5" t="s">
        <v>46</v>
      </c>
      <c r="B5">
        <v>18000</v>
      </c>
    </row>
    <row r="6" spans="1:2" x14ac:dyDescent="0.3">
      <c r="A6" t="s">
        <v>47</v>
      </c>
      <c r="B6">
        <v>16000</v>
      </c>
    </row>
    <row r="8" spans="1:2" x14ac:dyDescent="0.3">
      <c r="A8" t="s">
        <v>48</v>
      </c>
      <c r="B8">
        <f>SUM(Table1[Sales])</f>
        <v>71000</v>
      </c>
    </row>
    <row r="9" spans="1:2" x14ac:dyDescent="0.3">
      <c r="A9" t="s">
        <v>49</v>
      </c>
      <c r="B9">
        <f>MIN(Table1[Sales])</f>
        <v>10000</v>
      </c>
    </row>
    <row r="10" spans="1:2" x14ac:dyDescent="0.3">
      <c r="A10" t="s">
        <v>50</v>
      </c>
      <c r="B10">
        <f>MAX(Table1[Sales])</f>
        <v>18000</v>
      </c>
    </row>
    <row r="11" spans="1:2" x14ac:dyDescent="0.3">
      <c r="A11" t="s">
        <v>51</v>
      </c>
      <c r="B11">
        <f>COUNT(Table1[Sales])</f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8227-6C91-4CD2-92F5-65A3FBD57ED7}">
  <dimension ref="A1:E12"/>
  <sheetViews>
    <sheetView tabSelected="1" workbookViewId="0">
      <selection activeCell="E13" sqref="E13"/>
    </sheetView>
  </sheetViews>
  <sheetFormatPr defaultRowHeight="14.4" x14ac:dyDescent="0.3"/>
  <cols>
    <col min="2" max="2" width="13" customWidth="1"/>
  </cols>
  <sheetData>
    <row r="1" spans="1:5" x14ac:dyDescent="0.3">
      <c r="A1" t="s">
        <v>52</v>
      </c>
      <c r="B1" t="s">
        <v>34</v>
      </c>
      <c r="C1" t="s">
        <v>25</v>
      </c>
      <c r="D1" t="s">
        <v>60</v>
      </c>
    </row>
    <row r="2" spans="1:5" x14ac:dyDescent="0.3">
      <c r="A2" t="s">
        <v>53</v>
      </c>
      <c r="B2" t="s">
        <v>58</v>
      </c>
      <c r="C2">
        <v>85</v>
      </c>
      <c r="D2" t="str">
        <f>IF(Table2[[#This Row],[Marks]]&gt;=50,"pass","fail")</f>
        <v>pass</v>
      </c>
    </row>
    <row r="3" spans="1:5" x14ac:dyDescent="0.3">
      <c r="A3" t="s">
        <v>54</v>
      </c>
      <c r="B3" t="s">
        <v>59</v>
      </c>
      <c r="C3">
        <v>55</v>
      </c>
      <c r="D3" t="str">
        <f>IF(Table2[[#This Row],[Marks]]&gt;=50,"pass","fail")</f>
        <v>pass</v>
      </c>
    </row>
    <row r="4" spans="1:5" x14ac:dyDescent="0.3">
      <c r="A4" t="s">
        <v>55</v>
      </c>
      <c r="B4" t="s">
        <v>58</v>
      </c>
      <c r="C4">
        <v>40</v>
      </c>
      <c r="D4" t="str">
        <f>IF(Table2[[#This Row],[Marks]]&gt;=50,"pass","fail")</f>
        <v>fail</v>
      </c>
    </row>
    <row r="5" spans="1:5" x14ac:dyDescent="0.3">
      <c r="A5" t="s">
        <v>56</v>
      </c>
      <c r="B5" t="s">
        <v>59</v>
      </c>
      <c r="C5">
        <v>70</v>
      </c>
      <c r="D5" t="str">
        <f>IF(Table2[[#This Row],[Marks]]&gt;=50,"pass","fail")</f>
        <v>pass</v>
      </c>
    </row>
    <row r="6" spans="1:5" x14ac:dyDescent="0.3">
      <c r="A6" t="s">
        <v>57</v>
      </c>
      <c r="B6" t="s">
        <v>58</v>
      </c>
      <c r="C6">
        <v>90</v>
      </c>
      <c r="D6" t="str">
        <f>IF(Table2[[#This Row],[Marks]]&gt;=50,"pass","fail")</f>
        <v>pass</v>
      </c>
    </row>
    <row r="9" spans="1:5" x14ac:dyDescent="0.3">
      <c r="A9" t="s">
        <v>61</v>
      </c>
      <c r="E9">
        <f>AVERAGE(Table2[Marks])</f>
        <v>68</v>
      </c>
    </row>
    <row r="10" spans="1:5" x14ac:dyDescent="0.3">
      <c r="A10" t="s">
        <v>64</v>
      </c>
      <c r="E10">
        <f>COUNTIF(Table2[Marks],"&gt;=60")</f>
        <v>3</v>
      </c>
    </row>
    <row r="11" spans="1:5" x14ac:dyDescent="0.3">
      <c r="A11" t="s">
        <v>62</v>
      </c>
      <c r="E11">
        <f>SUMIF(Table2[Department],"science",Table2[Marks])</f>
        <v>215</v>
      </c>
    </row>
    <row r="12" spans="1:5" x14ac:dyDescent="0.3">
      <c r="A12" t="s">
        <v>63</v>
      </c>
      <c r="E12">
        <f>AVERAGEIF(Table2[Department],"commerce",Table2[Marks])</f>
        <v>62.5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5 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A</dc:creator>
  <cp:lastModifiedBy>Sreelakshmi A</cp:lastModifiedBy>
  <dcterms:created xsi:type="dcterms:W3CDTF">2026-07-30T10:06:33Z</dcterms:created>
  <dcterms:modified xsi:type="dcterms:W3CDTF">2026-07-30T11:37:05Z</dcterms:modified>
</cp:coreProperties>
</file>